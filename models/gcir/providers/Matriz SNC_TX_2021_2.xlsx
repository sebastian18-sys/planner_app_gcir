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66925"/>
  <mc:AlternateContent xmlns:mc="http://schemas.openxmlformats.org/markup-compatibility/2006">
    <mc:Choice Requires="x15">
      <x15ac:absPath xmlns:x15ac="http://schemas.microsoft.com/office/spreadsheetml/2010/11/ac" url="C:\Users\ICETEL - RAN\Downloads\"/>
    </mc:Choice>
  </mc:AlternateContent>
  <xr:revisionPtr revIDLastSave="0" documentId="13_ncr:1_{BF392593-AB34-4699-AC5B-B3189DA4B739}" xr6:coauthVersionLast="47" xr6:coauthVersionMax="47" xr10:uidLastSave="{00000000-0000-0000-0000-000000000000}"/>
  <bookViews>
    <workbookView xWindow="-120" yWindow="-120" windowWidth="29040" windowHeight="15840" tabRatio="782" firstSheet="3" activeTab="4" xr2:uid="{D0502A40-33FB-40EB-9C1D-1D9672F33A6E}"/>
  </bookViews>
  <sheets>
    <sheet name="Resumen de Penalidades" sheetId="12" state="hidden" r:id="rId1"/>
    <sheet name="Desplegables" sheetId="10" state="hidden" r:id="rId2"/>
    <sheet name="Resumen - Gráficas" sheetId="14" state="hidden" r:id="rId3"/>
    <sheet name="FO" sheetId="2" r:id="rId4"/>
    <sheet name="Implementación" sheetId="4" r:id="rId5"/>
    <sheet name="SST" sheetId="6" state="hidden" r:id="rId6"/>
    <sheet name="Penalidades RFP" sheetId="1"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___EMX2500">[1]Configurator!$E$32</definedName>
    <definedName name="____LI1">'[1]#REF'!#REF!</definedName>
    <definedName name="____LI2">'[1]#REF'!#REF!</definedName>
    <definedName name="____LI3">'[1]#REF'!$A$1:$E$43</definedName>
    <definedName name="____PF1">'[1]#REF'!#REF!</definedName>
    <definedName name="____PF2">'[1]#REF'!$G$10:$P$44</definedName>
    <definedName name="____PF3">'[1]#REF'!#REF!</definedName>
    <definedName name="____PF4">'[1]#REF'!#REF!</definedName>
    <definedName name="____PF5">'[1]#REF'!$EF$10:$EP$44</definedName>
    <definedName name="____PL1">'[1]#REF'!$A$1:$K$56</definedName>
    <definedName name="____PXB5">'[1]#REF'!#REF!,'[1]#REF'!#REF!</definedName>
    <definedName name="____QMY402">'[1]#REF'!#REF!</definedName>
    <definedName name="____QMY403">'[1]#REF'!#REF!</definedName>
    <definedName name="____QMY405">'[1]#REF'!#REF!</definedName>
    <definedName name="____QMY406">'[1]#REF'!#REF!</definedName>
    <definedName name="____QMY407">'[1]#REF'!#REF!</definedName>
    <definedName name="____SA2">'[1]#REF'!$A$1</definedName>
    <definedName name="____wig2">AND([0]!Prepaid_0, OR(#REF!="x",#REF!="x"))</definedName>
    <definedName name="____wig3">AND([0]!Prepaid_1, OR(#REF!="x",#REF!="x"))</definedName>
    <definedName name="___EMX2500">[1]Configurator!$E$32</definedName>
    <definedName name="___LI1">'[1]#REF'!#REF!</definedName>
    <definedName name="___LI2">'[1]#REF'!#REF!</definedName>
    <definedName name="___LI3">'[1]#REF'!$A$1:$E$43</definedName>
    <definedName name="___OBS1">#REF!</definedName>
    <definedName name="___OBS2">#REF!</definedName>
    <definedName name="___OBS3">#REF!</definedName>
    <definedName name="___PF1">'[1]#REF'!#REF!</definedName>
    <definedName name="___PF2">'[1]#REF'!$G$10:$P$44</definedName>
    <definedName name="___PF3">'[1]#REF'!#REF!</definedName>
    <definedName name="___PF4">'[1]#REF'!#REF!</definedName>
    <definedName name="___PF5">'[1]#REF'!$EF$10:$EP$44</definedName>
    <definedName name="___PL1">'[1]#REF'!$A$1:$K$56</definedName>
    <definedName name="___PXB1">'[1]#REF'!#REF!,'[1]#REF'!#REF!,'[1]#REF'!#REF!</definedName>
    <definedName name="___PXB2">'[1]#REF'!#REF!,'[1]#REF'!#REF!,'[1]#REF'!#REF!</definedName>
    <definedName name="___PXB3">'[1]#REF'!#REF!,'[1]#REF'!#REF!,'[1]#REF'!#REF!</definedName>
    <definedName name="___PXB4">'[1]#REF'!#REF!,'[1]#REF'!#REF!,'[1]#REF'!#REF!</definedName>
    <definedName name="___PXB5">'[1]#REF'!#REF!,'[1]#REF'!#REF!</definedName>
    <definedName name="___QMY402">'[1]#REF'!#REF!</definedName>
    <definedName name="___QMY403">'[1]#REF'!#REF!</definedName>
    <definedName name="___QMY405">'[1]#REF'!#REF!</definedName>
    <definedName name="___QMY406">'[1]#REF'!#REF!</definedName>
    <definedName name="___QMY407">'[1]#REF'!#REF!</definedName>
    <definedName name="___RS30">#REF!</definedName>
    <definedName name="___RS40">#REF!</definedName>
    <definedName name="___SA2">'[1]#REF'!$A$1</definedName>
    <definedName name="___TIT1">#REF!</definedName>
    <definedName name="___TIT2">#REF!</definedName>
    <definedName name="___wig2">AND([0]!Prepaid_0, OR(#REF!="x",#REF!="x"))</definedName>
    <definedName name="___wig3">AND([0]!Prepaid_1, OR(#REF!="x",#REF!="x"))</definedName>
    <definedName name="__OBS2">#REF!</definedName>
    <definedName name="__OBS3">#REF!</definedName>
    <definedName name="__RS40">#REF!</definedName>
    <definedName name="__TIT2">#REF!</definedName>
    <definedName name="__wig2">#N/A</definedName>
    <definedName name="__wig3">#N/A</definedName>
    <definedName name="_a66000">#REF!</definedName>
    <definedName name="_xlnm._FilterDatabase" localSheetId="3" hidden="1">FO!$A$1:$M$53</definedName>
    <definedName name="_xlnm._FilterDatabase" localSheetId="4" hidden="1">Implementación!$A$1:$M$7</definedName>
    <definedName name="_xlnm._FilterDatabase" localSheetId="5" hidden="1">SST!$A$2:$L$30</definedName>
    <definedName name="_LI1">'[1]#REF'!#REF!</definedName>
    <definedName name="_LI2">'[1]#REF'!#REF!</definedName>
    <definedName name="_LI3">'[1]#REF'!$A$1:$E$43</definedName>
    <definedName name="_OBS1">#REF!</definedName>
    <definedName name="_OBS2">#REF!</definedName>
    <definedName name="_OBS3">#REF!</definedName>
    <definedName name="_PF1">'[1]#REF'!#REF!</definedName>
    <definedName name="_PF2">'[1]#REF'!$G$10:$P$44</definedName>
    <definedName name="_pf200">'[1]#REF'!#REF!</definedName>
    <definedName name="_PF3">'[1]#REF'!#REF!</definedName>
    <definedName name="_PF4">'[1]#REF'!#REF!</definedName>
    <definedName name="_PF5">'[1]#REF'!$EF$10:$EP$44</definedName>
    <definedName name="_PL1">'[1]#REF'!$A$1:$K$56</definedName>
    <definedName name="_PXB1">'[1]#REF'!#REF!,'[1]#REF'!#REF!,'[1]#REF'!#REF!</definedName>
    <definedName name="_PXB2">'[1]#REF'!#REF!,'[1]#REF'!#REF!,'[1]#REF'!#REF!</definedName>
    <definedName name="_PXB3">'[1]#REF'!#REF!,'[1]#REF'!#REF!,'[1]#REF'!#REF!</definedName>
    <definedName name="_PXB4">'[1]#REF'!#REF!,'[1]#REF'!#REF!,'[1]#REF'!#REF!</definedName>
    <definedName name="_PXB5">'[1]#REF'!#REF!,'[1]#REF'!#REF!</definedName>
    <definedName name="_QMY402">'[1]#REF'!#REF!</definedName>
    <definedName name="_QMY403">'[1]#REF'!#REF!</definedName>
    <definedName name="_QMY405">'[1]#REF'!#REF!</definedName>
    <definedName name="_QMY406">'[1]#REF'!#REF!</definedName>
    <definedName name="_QMY407">'[1]#REF'!#REF!</definedName>
    <definedName name="_RS30">#REF!</definedName>
    <definedName name="_RS40">#REF!</definedName>
    <definedName name="_SA2">'[1]#REF'!$A$1</definedName>
    <definedName name="_TIT1">#REF!</definedName>
    <definedName name="_TIT2">#REF!</definedName>
    <definedName name="_wig2">#N/A</definedName>
    <definedName name="_wig3">#N/A</definedName>
    <definedName name="_wig4">#N/A</definedName>
    <definedName name="_wig5">#N/A</definedName>
    <definedName name="_wig6">#N/A</definedName>
    <definedName name="_wig8">#N/A</definedName>
    <definedName name="_wig9">#N/A</definedName>
    <definedName name="a">[2]CADASTRO!$B$28:$B$50</definedName>
    <definedName name="aa">#REF!</definedName>
    <definedName name="ACOPLADOR">#REF!</definedName>
    <definedName name="Adquisicion">#REF!</definedName>
    <definedName name="allmun">#REF!</definedName>
    <definedName name="anscount" hidden="1">1</definedName>
    <definedName name="ANTENAS">#REF!</definedName>
    <definedName name="ANTENAS_INDOOR">#REF!</definedName>
    <definedName name="antenas3">#REF!</definedName>
    <definedName name="areas">#REF!</definedName>
    <definedName name="Armazenagem">'[3]Input Table'!#REF!</definedName>
    <definedName name="azimute">[4]CADASTRO!$A$143:$A$214</definedName>
    <definedName name="B">[5]CADASTRO!$A$28:$A$32</definedName>
    <definedName name="_xlnm.Database">'[1]#REF'!$C$5:$AR$522</definedName>
    <definedName name="Beatriz">[6]Hoja8!$E$2:$E$11</definedName>
    <definedName name="BSC_AMERICEL">#REF!</definedName>
    <definedName name="BSC_ATL">#REF!</definedName>
    <definedName name="BSC_BASE">#REF!</definedName>
    <definedName name="BSC_CLARO">#REF!</definedName>
    <definedName name="BSC_PRSC">#REF!</definedName>
    <definedName name="BSC_SPM">#REF!</definedName>
    <definedName name="BSC_TESS">#REF!</definedName>
    <definedName name="bts_alcatel">#REF!</definedName>
    <definedName name="bts_ericsson">#REF!</definedName>
    <definedName name="bts_siemens">#REF!</definedName>
    <definedName name="budget">[7]CADASTRO!$E$2:$E$3177</definedName>
    <definedName name="budget1">[7]CADASTRO!$R$3:$R$40</definedName>
    <definedName name="budget2">[7]CADASTRO!$AU$3:$AU$18</definedName>
    <definedName name="budget3">[7]CADASTRO!$A$3:$A$10</definedName>
    <definedName name="budget4">[7]CADASTRO!$O$52:$O$87</definedName>
    <definedName name="CANDIDATOS">#REF!</definedName>
    <definedName name="CE_ERICSSON">[8]CADASTRO!$AK$3:$AK$12</definedName>
    <definedName name="CE_HUAWEI">[9]CADASTRO!$AF$3:$AF$13</definedName>
    <definedName name="CLASSIFICAÇÃO">[8]CADASTRO!$B$29:$B$33</definedName>
    <definedName name="CLIENTE">#REF!</definedName>
    <definedName name="clusterAMERICEL">#REF!</definedName>
    <definedName name="clusterATL">#REF!</definedName>
    <definedName name="clusterbase">#REF!</definedName>
    <definedName name="clusterClaro">#REF!</definedName>
    <definedName name="clusterprsc">#REF!</definedName>
    <definedName name="clusterSPM">#REF!</definedName>
    <definedName name="clusterTESS">#REF!</definedName>
    <definedName name="CMPF">#REF!</definedName>
    <definedName name="COFINS">#REF!</definedName>
    <definedName name="Combined___no_TCC">[10]CONFIGURAÇÃO_F!#REF!,[10]CONFIGURAÇÃO_F!#REF!,[10]CONFIGURAÇÃO_F!#REF!,[10]CONFIGURAÇÃO_F!#REF!</definedName>
    <definedName name="COMBINER_ALCATEL">#REF!</definedName>
    <definedName name="COMBINER_ERICSSON">#REF!</definedName>
    <definedName name="COMBINER_HUAWEI">[9]CADASTRO!$AC$3:$AC$12</definedName>
    <definedName name="COMBINER_SIEMENS">#REF!</definedName>
    <definedName name="COMPARTILHADO">#REF!</definedName>
    <definedName name="Contratas">Tabla1[Contratas]</definedName>
    <definedName name="Coordinador">Desplegables!$D$2:$D$9</definedName>
    <definedName name="CPMF">#REF!</definedName>
    <definedName name="Criterio">#REF!</definedName>
    <definedName name="CTSDG_06515_4DM">[10]CONFIGURAÇÃO_F!#REF!</definedName>
    <definedName name="CUSTOMER">#REF!</definedName>
    <definedName name="DATA">#REF!</definedName>
    <definedName name="DATE">#REF!</definedName>
    <definedName name="DATUM">#REF!</definedName>
    <definedName name="DESC">#REF!</definedName>
    <definedName name="Despacho">'[3]Input Table'!#REF!</definedName>
    <definedName name="dfd">[11]CADASTRO!$C$3:$C$6</definedName>
    <definedName name="Diseño">#REF!</definedName>
    <definedName name="end">[12]CADASTRO!$M$3:$M$40</definedName>
    <definedName name="Est_AMERICELL">#REF!</definedName>
    <definedName name="Est_ATL">#REF!</definedName>
    <definedName name="Est_base">#REF!</definedName>
    <definedName name="Est_Claro">#REF!</definedName>
    <definedName name="Est_prsc">#REF!</definedName>
    <definedName name="Est_SPM">#REF!</definedName>
    <definedName name="Est_TESS">#REF!</definedName>
    <definedName name="ESTADOS" comment="ESTADOS DEL PROYECTO">[13]!Table4[shortEST]</definedName>
    <definedName name="Estatus">Desplegables!$E$2:$E$5</definedName>
    <definedName name="ESTRUTURA_VERTICAL">#REF!</definedName>
    <definedName name="EURO">#REF!</definedName>
    <definedName name="Exchange_Rate">'[3]Input Table'!#REF!</definedName>
    <definedName name="FASES" comment="fases de la ejecución de ROLLOUT">#REF!</definedName>
    <definedName name="FASESITIO" comment="FASES POR LAS QUE PASA EL SITIO DE LH">[13]!Table5[ShortFASSite]</definedName>
    <definedName name="Fornecedor">[14]CADASTRO!$C$3:$C$5</definedName>
    <definedName name="fornecedores">#REF!</definedName>
    <definedName name="FOTO">#REF!</definedName>
    <definedName name="Freight">#REF!</definedName>
    <definedName name="FRETE">#REF!</definedName>
    <definedName name="FX">#REF!</definedName>
    <definedName name="gchgc">[15]CADASTRO!$C$28:$C$43</definedName>
    <definedName name="gkiugkjgb">[15]CADASTRO!$C$28:$C$43</definedName>
    <definedName name="gvcgc">[15]CADASTRO!$C$28:$C$43</definedName>
    <definedName name="HOJE">#REF!</definedName>
    <definedName name="HTML_CodePage" hidden="1">1252</definedName>
    <definedName name="HTML_Control" hidden="1">{"'Edit'!$A$1:$V$2277"}</definedName>
    <definedName name="HTML_Description" hidden="1">"IBN Products"</definedName>
    <definedName name="HTML_Email" hidden="1">""</definedName>
    <definedName name="HTML_Header" hidden="1">"Edit"</definedName>
    <definedName name="HTML_LastUpdate" hidden="1">"24/05/97"</definedName>
    <definedName name="HTML_LineAfter" hidden="1">FALSE</definedName>
    <definedName name="HTML_LineBefore" hidden="1">TRUE</definedName>
    <definedName name="HTML_Name" hidden="1">"Mike Bibbings"</definedName>
    <definedName name="HTML_OBDlg2" hidden="1">TRUE</definedName>
    <definedName name="HTML_OBDlg4" hidden="1">TRUE</definedName>
    <definedName name="HTML_OS" hidden="1">0</definedName>
    <definedName name="HTML_PathFile" hidden="1">"C:\My Documents\mmelHTML.htm"</definedName>
    <definedName name="HTML_Title" hidden="1">"Master Edit List"</definedName>
    <definedName name="ICMS">#REF!</definedName>
    <definedName name="ICMS_Cable_modem">'[3]Input Table'!#REF!</definedName>
    <definedName name="ICMS_Headend">'[3]Input Table'!#REF!</definedName>
    <definedName name="ICMS_Hubs">'[3]Input Table'!#REF!</definedName>
    <definedName name="ICMS_Partes_Peças">'[3]Input Table'!#REF!</definedName>
    <definedName name="ICMS_PPB">#REF!</definedName>
    <definedName name="ICMS_RAS">'[3]Input Table'!#REF!</definedName>
    <definedName name="ICMS_Routers">'[3]Input Table'!#REF!</definedName>
    <definedName name="ICMS_Switch">'[3]Input Table'!#REF!</definedName>
    <definedName name="II_Cable_modem">'[3]Input Table'!#REF!</definedName>
    <definedName name="II_Headend">'[3]Input Table'!#REF!</definedName>
    <definedName name="II_Hubs">'[3]Input Table'!#REF!</definedName>
    <definedName name="II_Partes_Peças">'[3]Input Table'!#REF!</definedName>
    <definedName name="II_RAS">'[3]Input Table'!#REF!</definedName>
    <definedName name="II_Routers">'[3]Input Table'!#REF!</definedName>
    <definedName name="II_Switch">'[3]Input Table'!#REF!</definedName>
    <definedName name="IMP_DAS">[16]TABLAS!$G$2:$G$9</definedName>
    <definedName name="IMP_MW">[16]TABLAS!$F$2:$F$6</definedName>
    <definedName name="IMP_NodoB">[16]TABLAS!$E$2:$E$4</definedName>
    <definedName name="IMP_STATUS">[16]TABLAS!$D$2:$D$5</definedName>
    <definedName name="INSTALAÇÃO">#REF!</definedName>
    <definedName name="Insurance">#REF!</definedName>
    <definedName name="IPI_Cable_modem">'[3]Input Table'!#REF!</definedName>
    <definedName name="IPI_Headend">'[3]Input Table'!#REF!</definedName>
    <definedName name="IPI_Hubs">'[3]Input Table'!#REF!</definedName>
    <definedName name="IPI_Partes_Peças">'[3]Input Table'!#REF!</definedName>
    <definedName name="IPI_PPB">#REF!</definedName>
    <definedName name="IPI_RAS">'[3]Input Table'!#REF!</definedName>
    <definedName name="IPI_Routers">'[3]Input Table'!#REF!</definedName>
    <definedName name="IPI_Switch">'[3]Input Table'!#REF!</definedName>
    <definedName name="IR">#REF!</definedName>
    <definedName name="ISS">#REF!</definedName>
    <definedName name="j">[7]CADASTRO!$AB$3:$AB$12</definedName>
    <definedName name="KAM">#REF!</definedName>
    <definedName name="Local_Freight_Insur">#REF!</definedName>
    <definedName name="Logistic">#REF!</definedName>
    <definedName name="MKT">#REF!</definedName>
    <definedName name="MunAC">#REF!</definedName>
    <definedName name="MunBA">#REF!</definedName>
    <definedName name="MunDF">#REF!</definedName>
    <definedName name="MunES">#REF!</definedName>
    <definedName name="MunGO">#REF!</definedName>
    <definedName name="MunMS">#REF!</definedName>
    <definedName name="MunMT">#REF!</definedName>
    <definedName name="MunPR">#REF!</definedName>
    <definedName name="MunRJ">#REF!</definedName>
    <definedName name="MunRO">#REF!</definedName>
    <definedName name="MunRS">#REF!</definedName>
    <definedName name="MunSC">#REF!</definedName>
    <definedName name="MunSE">#REF!</definedName>
    <definedName name="MunSP">#REF!</definedName>
    <definedName name="MunSPM">#REF!</definedName>
    <definedName name="MunTO">#REF!</definedName>
    <definedName name="nodeB_ericsson">[8]CADASTRO!$AG$3:$AG$12</definedName>
    <definedName name="nodeB_huawei">[9]CADASTRO!$AB$3:$AB$12</definedName>
    <definedName name="OBJETIVO">#REF!</definedName>
    <definedName name="parts.rep.pos">12</definedName>
    <definedName name="Penalidades">Tabla1[Penalidades]</definedName>
    <definedName name="PIS">#REF!</definedName>
    <definedName name="PM">#REF!</definedName>
    <definedName name="POT_TRX_ALCATEL">#REF!</definedName>
    <definedName name="POT_TRX_ERICSSON">#REF!</definedName>
    <definedName name="POT_TRX_HUAWEI">[9]CADASTRO!$AE$3:$AE$13</definedName>
    <definedName name="POT_TRX_SIEMENS">#REF!</definedName>
    <definedName name="Prepaid_0">OR(#REF!="x")</definedName>
    <definedName name="Prepaid_0_AndCSN">AND(Prepaid_0,#REF!= "x")</definedName>
    <definedName name="Prepaid_0_AndSN">AND(Prepaid_0, OR(#REF!="x",#REF!="x"))</definedName>
    <definedName name="Prepaid_1">OR(#REF!="x")</definedName>
    <definedName name="Prepaid_1_AndCSN">AND(Prepaid_1,#REF!= "x")</definedName>
    <definedName name="Prepaid_1_AndSN">AND(Prepaid_1, OR(#REF!="x",#REF!="x"))</definedName>
    <definedName name="Prepaid_2">OR(#REF!="x")</definedName>
    <definedName name="PROD1">#REF!</definedName>
    <definedName name="PROD10">#REF!</definedName>
    <definedName name="PROD2">#REF!</definedName>
    <definedName name="PROD3">#REF!</definedName>
    <definedName name="PROD4">#REF!</definedName>
    <definedName name="PROD5">#REF!</definedName>
    <definedName name="PROD6">#REF!</definedName>
    <definedName name="PROD7">#REF!</definedName>
    <definedName name="PROD8">#REF!</definedName>
    <definedName name="PROD9">#REF!</definedName>
    <definedName name="Product1">#REF!</definedName>
    <definedName name="Product10">#REF!</definedName>
    <definedName name="Product2">#REF!</definedName>
    <definedName name="Product3">#REF!</definedName>
    <definedName name="Product4">#REF!</definedName>
    <definedName name="Product5">#REF!</definedName>
    <definedName name="Product6">#REF!</definedName>
    <definedName name="Product7">#REF!</definedName>
    <definedName name="Product8">#REF!</definedName>
    <definedName name="Product9">#REF!</definedName>
    <definedName name="PROJECT">#REF!</definedName>
    <definedName name="PROJETO">#REF!</definedName>
    <definedName name="PROPOSAL">#REF!</definedName>
    <definedName name="Proyecto">Desplegables!$C$2:$C$13</definedName>
    <definedName name="q">'[1]#REF'!#REF!</definedName>
    <definedName name="QASDFGH">#REF!</definedName>
    <definedName name="REF">#REF!</definedName>
    <definedName name="rel">[17]INPUT!$B$13</definedName>
    <definedName name="reports">#REF!</definedName>
    <definedName name="RESPONDA">[18]CADASTRO!$B$62:$B$63</definedName>
    <definedName name="RESPOSTA">#REF!</definedName>
    <definedName name="revisao">#REF!</definedName>
    <definedName name="RNC_SPM">[9]CADASTRO!$L$52:$L$87</definedName>
    <definedName name="Sale">'[3]Input Table'!#REF!</definedName>
    <definedName name="Servicio">#REF!</definedName>
    <definedName name="SETORES">#REF!</definedName>
    <definedName name="Shared_AC_Rate2">[19]Input!$C$14</definedName>
    <definedName name="Shared_AC_Rate3">[19]Input!$D$14</definedName>
    <definedName name="Shared_AC_Rate4">[19]Input!$E$14</definedName>
    <definedName name="Shared_AD3">[19]Input!$D$10</definedName>
    <definedName name="Shared_AR2">[19]Input!$C$11</definedName>
    <definedName name="Shared_AR3">[19]Input!$D$11</definedName>
    <definedName name="Shared_BS2">[19]Input!$C$12</definedName>
    <definedName name="Shared_BS3">[19]Input!$D$12</definedName>
    <definedName name="Shared_SS2">[19]Input!$C$13</definedName>
    <definedName name="Shared_SS3">[19]Input!$D$13</definedName>
    <definedName name="sjkafnkajsd">#REF!</definedName>
    <definedName name="SMSC">OR(#REF!="x",#REF!="x")</definedName>
    <definedName name="SPLITTER">#REF!</definedName>
    <definedName name="Storage">#REF!</definedName>
    <definedName name="SVC">'[3]Input Table'!$B$24</definedName>
    <definedName name="TAPPER">#REF!</definedName>
    <definedName name="Technology">[8]CADASTRO!$A$69:$A$71</definedName>
    <definedName name="test">#REF!</definedName>
    <definedName name="TIPO_CABO">#REF!</definedName>
    <definedName name="Tipo_de_Setor">#REF!</definedName>
    <definedName name="TIPO_SITE">#REF!</definedName>
    <definedName name="TIPO_TMA">#REF!</definedName>
    <definedName name="tn1x_dbgen">[20]nsalas.tn1xmod!$A$2:$D$55</definedName>
    <definedName name="TOTOD">[21]CADASTRO!$E$27:$E$444</definedName>
    <definedName name="UnShared_AC_Rate2">[19]Input!$C$20</definedName>
    <definedName name="UnShared_AC_Rate3">[19]Input!$D$20</definedName>
    <definedName name="UnShared_AC_Rate4">[19]Input!$E$20</definedName>
    <definedName name="UnShared_AD3">[19]Input!$D$16</definedName>
    <definedName name="UnShared_AR2">[19]Input!$C$17</definedName>
    <definedName name="UnShared_AR3">[19]Input!$D$17</definedName>
    <definedName name="UnShared_BS2">[19]Input!$C$18</definedName>
    <definedName name="UnShared_BS3">[19]Input!$D$18</definedName>
    <definedName name="UnShared_SS2">[19]Input!$C$19</definedName>
    <definedName name="UnShared_SS3">[19]Input!$D$19</definedName>
    <definedName name="US">#REF!</definedName>
  </definedNames>
  <calcPr calcId="191028"/>
  <pivotCaches>
    <pivotCache cacheId="0" r:id="rId29"/>
    <pivotCache cacheId="1" r:id="rId30"/>
    <pivotCache cacheId="2" r:id="rId3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M5" i="14" l="1"/>
  <c r="AV5" i="14"/>
  <c r="AT5" i="14"/>
  <c r="AS5" i="14"/>
  <c r="AR5" i="14"/>
  <c r="AQ5" i="14"/>
  <c r="AL5" i="14"/>
  <c r="AL6" i="14" s="1"/>
  <c r="AM6" i="14" s="1"/>
  <c r="AN6" i="14" s="1"/>
  <c r="AO6" i="14" s="1"/>
  <c r="AP6" i="14" s="1"/>
  <c r="AQ6" i="14" s="1"/>
  <c r="AR6" i="14" s="1"/>
  <c r="AS6" i="14" s="1"/>
  <c r="AT6" i="14" s="1"/>
  <c r="AU6" i="14" s="1"/>
  <c r="AV6" i="14" s="1"/>
  <c r="AW6" i="14" s="1"/>
  <c r="AP5" i="14"/>
  <c r="AW5" i="14"/>
  <c r="AO5" i="14"/>
  <c r="AN5" i="14"/>
  <c r="AU5"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Montoya Rios, Beatriz</author>
  </authors>
  <commentList>
    <comment ref="C57" authorId="0" shapeId="0" xr:uid="{21E4BCAC-FD36-400E-9AB5-150F60321233}">
      <text>
        <r>
          <rPr>
            <b/>
            <sz val="9"/>
            <color indexed="81"/>
            <rFont val="Tahoma"/>
            <family val="2"/>
          </rPr>
          <t>Montoya Rios, Beatriz:</t>
        </r>
        <r>
          <rPr>
            <sz val="9"/>
            <color indexed="81"/>
            <rFont val="Tahoma"/>
            <family val="2"/>
          </rPr>
          <t xml:space="preserve">
solicitar mayor alcance, explicación
</t>
        </r>
      </text>
    </comment>
    <comment ref="C58" authorId="0" shapeId="0" xr:uid="{9AC9C741-6FC9-42B0-A5C2-9E2B81F46634}">
      <text>
        <r>
          <rPr>
            <b/>
            <sz val="9"/>
            <color indexed="81"/>
            <rFont val="Tahoma"/>
            <family val="2"/>
          </rPr>
          <t>Montoya Rios, Beatriz:</t>
        </r>
        <r>
          <rPr>
            <sz val="9"/>
            <color indexed="81"/>
            <rFont val="Tahoma"/>
            <family val="2"/>
          </rPr>
          <t xml:space="preserve">
solicitar mayor alcance, explicación
</t>
        </r>
      </text>
    </comment>
    <comment ref="C61" authorId="0" shapeId="0" xr:uid="{00A2C6F3-2142-4875-A775-3CDC5EE12EEC}">
      <text>
        <r>
          <rPr>
            <b/>
            <sz val="9"/>
            <color indexed="81"/>
            <rFont val="Tahoma"/>
            <family val="2"/>
          </rPr>
          <t>Montoya Rios, Beatriz:</t>
        </r>
        <r>
          <rPr>
            <sz val="9"/>
            <color indexed="81"/>
            <rFont val="Tahoma"/>
            <family val="2"/>
          </rPr>
          <t xml:space="preserve">
solicitar mayor alcance, explicación</t>
        </r>
      </text>
    </comment>
    <comment ref="C81" authorId="0" shapeId="0" xr:uid="{76B30F0B-D71D-40AF-A927-9E728679085E}">
      <text>
        <r>
          <rPr>
            <b/>
            <sz val="9"/>
            <color indexed="81"/>
            <rFont val="Tahoma"/>
            <family val="2"/>
          </rPr>
          <t>Montoya Rios, Beatriz:</t>
        </r>
        <r>
          <rPr>
            <sz val="9"/>
            <color indexed="81"/>
            <rFont val="Tahoma"/>
            <family val="2"/>
          </rPr>
          <t xml:space="preserve">
solicitar mayor alcance, explicación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Montoya Rios, Beatriz</author>
  </authors>
  <commentList>
    <comment ref="B1" authorId="0" shapeId="0" xr:uid="{CF9F3FF6-39F9-4B6E-99CA-984A5F74D982}">
      <text>
        <r>
          <rPr>
            <b/>
            <sz val="9"/>
            <color indexed="81"/>
            <rFont val="Tahoma"/>
            <family val="2"/>
          </rPr>
          <t>Montoya Rios, Beatriz:</t>
        </r>
        <r>
          <rPr>
            <sz val="9"/>
            <color indexed="81"/>
            <rFont val="Tahoma"/>
            <family val="2"/>
          </rPr>
          <t xml:space="preserve">
deb tener el nombre del proceso del archivo CONTRATOS</t>
        </r>
      </text>
    </comment>
    <comment ref="I26" authorId="0" shapeId="0" xr:uid="{E1746C72-4944-4A2E-A73C-B3C9A9269CCB}">
      <text>
        <r>
          <rPr>
            <b/>
            <sz val="9"/>
            <color indexed="81"/>
            <rFont val="Tahoma"/>
            <family val="2"/>
          </rPr>
          <t>Montoya Rios, Beatriz:</t>
        </r>
        <r>
          <rPr>
            <sz val="9"/>
            <color indexed="81"/>
            <rFont val="Tahoma"/>
            <family val="2"/>
          </rPr>
          <t xml:space="preserve">
solicitar mayor alcance, explicación
</t>
        </r>
      </text>
    </comment>
    <comment ref="I27" authorId="0" shapeId="0" xr:uid="{FDABFB1A-3EBF-4554-83DB-22ACE3B9B519}">
      <text>
        <r>
          <rPr>
            <b/>
            <sz val="9"/>
            <color indexed="81"/>
            <rFont val="Tahoma"/>
            <family val="2"/>
          </rPr>
          <t>Montoya Rios, Beatriz:</t>
        </r>
        <r>
          <rPr>
            <sz val="9"/>
            <color indexed="81"/>
            <rFont val="Tahoma"/>
            <family val="2"/>
          </rPr>
          <t xml:space="preserve">
solicitar mayor alcance, explicación
</t>
        </r>
      </text>
    </comment>
    <comment ref="I30" authorId="0" shapeId="0" xr:uid="{12FB0CDC-A96D-4745-857B-48C33E87A1D8}">
      <text>
        <r>
          <rPr>
            <b/>
            <sz val="9"/>
            <color indexed="81"/>
            <rFont val="Tahoma"/>
            <family val="2"/>
          </rPr>
          <t>Montoya Rios, Beatriz:</t>
        </r>
        <r>
          <rPr>
            <sz val="9"/>
            <color indexed="81"/>
            <rFont val="Tahoma"/>
            <family val="2"/>
          </rPr>
          <t xml:space="preserve">
solicitar mayor alcance, explicación</t>
        </r>
      </text>
    </comment>
    <comment ref="I50" authorId="0" shapeId="0" xr:uid="{6918EF8B-3B9F-4D47-9F9F-47643E10C37E}">
      <text>
        <r>
          <rPr>
            <b/>
            <sz val="9"/>
            <color indexed="81"/>
            <rFont val="Tahoma"/>
            <family val="2"/>
          </rPr>
          <t>Montoya Rios, Beatriz:</t>
        </r>
        <r>
          <rPr>
            <sz val="9"/>
            <color indexed="81"/>
            <rFont val="Tahoma"/>
            <family val="2"/>
          </rPr>
          <t xml:space="preserve">
solicitar mayor alcance, explicación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Montoya Rios, Beatriz</author>
  </authors>
  <commentList>
    <comment ref="I24" authorId="0" shapeId="0" xr:uid="{44941E11-E0D4-412A-816A-A3F3BD0A8C82}">
      <text>
        <r>
          <rPr>
            <b/>
            <sz val="9"/>
            <color indexed="81"/>
            <rFont val="Tahoma"/>
            <family val="2"/>
          </rPr>
          <t>Montoya Rios, Beatriz:</t>
        </r>
        <r>
          <rPr>
            <sz val="9"/>
            <color indexed="81"/>
            <rFont val="Tahoma"/>
            <family val="2"/>
          </rPr>
          <t xml:space="preserve">
solicitar mayor alcance, explicación
</t>
        </r>
      </text>
    </comment>
    <comment ref="I25" authorId="0" shapeId="0" xr:uid="{0FCC31A7-B236-4E2A-B966-618C4363D98C}">
      <text>
        <r>
          <rPr>
            <b/>
            <sz val="9"/>
            <color indexed="81"/>
            <rFont val="Tahoma"/>
            <family val="2"/>
          </rPr>
          <t>Montoya Rios, Beatriz:</t>
        </r>
        <r>
          <rPr>
            <sz val="9"/>
            <color indexed="81"/>
            <rFont val="Tahoma"/>
            <family val="2"/>
          </rPr>
          <t xml:space="preserve">
solicitar mayor alcance, explicación
</t>
        </r>
      </text>
    </comment>
    <comment ref="I28" authorId="0" shapeId="0" xr:uid="{952DC3AE-4D55-47DB-AE82-BBE79A87807D}">
      <text>
        <r>
          <rPr>
            <b/>
            <sz val="9"/>
            <color indexed="81"/>
            <rFont val="Tahoma"/>
            <family val="2"/>
          </rPr>
          <t>Montoya Rios, Beatriz:</t>
        </r>
        <r>
          <rPr>
            <sz val="9"/>
            <color indexed="81"/>
            <rFont val="Tahoma"/>
            <family val="2"/>
          </rPr>
          <t xml:space="preserve">
solicitar mayor alcance, explicación</t>
        </r>
      </text>
    </comment>
    <comment ref="I48" authorId="0" shapeId="0" xr:uid="{93437982-F7F9-4811-8062-353156C45BDE}">
      <text>
        <r>
          <rPr>
            <b/>
            <sz val="9"/>
            <color indexed="81"/>
            <rFont val="Tahoma"/>
            <family val="2"/>
          </rPr>
          <t>Montoya Rios, Beatriz:</t>
        </r>
        <r>
          <rPr>
            <sz val="9"/>
            <color indexed="81"/>
            <rFont val="Tahoma"/>
            <family val="2"/>
          </rPr>
          <t xml:space="preserve">
solicitar mayor alcance, explicación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Montoya Rios, Beatriz</author>
  </authors>
  <commentList>
    <comment ref="H3" authorId="0" shapeId="0" xr:uid="{1665A9EA-F39D-4359-A9EF-349CA5BE9E4D}">
      <text>
        <r>
          <rPr>
            <b/>
            <sz val="9"/>
            <color indexed="81"/>
            <rFont val="Tahoma"/>
            <family val="2"/>
          </rPr>
          <t>Montoya Rios, Beatriz:</t>
        </r>
        <r>
          <rPr>
            <sz val="9"/>
            <color indexed="81"/>
            <rFont val="Tahoma"/>
            <family val="2"/>
          </rPr>
          <t xml:space="preserve">
solicitar mayor alcance, explicación
</t>
        </r>
      </text>
    </comment>
    <comment ref="H4" authorId="0" shapeId="0" xr:uid="{992937F8-FBC2-4326-86A4-24B4B33BDC1D}">
      <text>
        <r>
          <rPr>
            <b/>
            <sz val="9"/>
            <color indexed="81"/>
            <rFont val="Tahoma"/>
            <family val="2"/>
          </rPr>
          <t>Montoya Rios, Beatriz:</t>
        </r>
        <r>
          <rPr>
            <sz val="9"/>
            <color indexed="81"/>
            <rFont val="Tahoma"/>
            <family val="2"/>
          </rPr>
          <t xml:space="preserve">
solicitar mayor alcance, explicación
</t>
        </r>
      </text>
    </comment>
    <comment ref="H7" authorId="0" shapeId="0" xr:uid="{4A629F31-2540-4F2B-BD5C-140A962CEA3E}">
      <text>
        <r>
          <rPr>
            <b/>
            <sz val="9"/>
            <color indexed="81"/>
            <rFont val="Tahoma"/>
            <family val="2"/>
          </rPr>
          <t>Montoya Rios, Beatriz:</t>
        </r>
        <r>
          <rPr>
            <sz val="9"/>
            <color indexed="81"/>
            <rFont val="Tahoma"/>
            <family val="2"/>
          </rPr>
          <t xml:space="preserve">
solicitar mayor alcance, explicación</t>
        </r>
      </text>
    </comment>
    <comment ref="H27" authorId="0" shapeId="0" xr:uid="{1FA16FB0-903B-445D-BD0B-7E287D316329}">
      <text>
        <r>
          <rPr>
            <b/>
            <sz val="9"/>
            <color indexed="81"/>
            <rFont val="Tahoma"/>
            <family val="2"/>
          </rPr>
          <t>Montoya Rios, Beatriz:</t>
        </r>
        <r>
          <rPr>
            <sz val="9"/>
            <color indexed="81"/>
            <rFont val="Tahoma"/>
            <family val="2"/>
          </rPr>
          <t xml:space="preserve">
solicitar mayor alcance, explicación</t>
        </r>
      </text>
    </comment>
  </commentList>
</comments>
</file>

<file path=xl/sharedStrings.xml><?xml version="1.0" encoding="utf-8"?>
<sst xmlns="http://schemas.openxmlformats.org/spreadsheetml/2006/main" count="2329" uniqueCount="456">
  <si>
    <t>Proyecto</t>
  </si>
  <si>
    <t>Coordinador Entel</t>
  </si>
  <si>
    <t>Contratista</t>
  </si>
  <si>
    <t>.</t>
  </si>
  <si>
    <t>ID</t>
  </si>
  <si>
    <t>Servicio No Conforme</t>
  </si>
  <si>
    <t>Severidad SNC</t>
  </si>
  <si>
    <t>Acciones a aplicar</t>
  </si>
  <si>
    <t>Responsable de Acciones a Aplicar</t>
  </si>
  <si>
    <t>Detalle de Penalidad</t>
  </si>
  <si>
    <t>Estatus</t>
  </si>
  <si>
    <t>Cobertura APT AQP</t>
  </si>
  <si>
    <t>Ronald Buendia</t>
  </si>
  <si>
    <t>TELRAD</t>
  </si>
  <si>
    <t>Macro</t>
  </si>
  <si>
    <t>SNC_PROV_05</t>
  </si>
  <si>
    <t>SWAP APT/2.6 + NR</t>
  </si>
  <si>
    <t>HUAWEI</t>
  </si>
  <si>
    <t>RANCO</t>
  </si>
  <si>
    <t>ICETEL</t>
  </si>
  <si>
    <t>SNC_PROV_11</t>
  </si>
  <si>
    <t>Rodolfo Barreto</t>
  </si>
  <si>
    <t>INCOBECH</t>
  </si>
  <si>
    <t>CYGTEL</t>
  </si>
  <si>
    <t>SWAP Gabinetes</t>
  </si>
  <si>
    <t>F1 SERVICES</t>
  </si>
  <si>
    <t>STP</t>
  </si>
  <si>
    <t>SNC_PROV_SST_04</t>
  </si>
  <si>
    <t>SNC_PROV_01</t>
  </si>
  <si>
    <t>Incumplimiento injustificado en el tiempo máximo de implementación.</t>
  </si>
  <si>
    <t>Grave</t>
  </si>
  <si>
    <t>NC, penalidad, reasignación, veto</t>
  </si>
  <si>
    <t>Coordinador del proyecto</t>
  </si>
  <si>
    <t>0.5% del precio total de la implementación por día de atraso (con un máximo de 20% dependiendo de la criticidad del sitio implementado).</t>
  </si>
  <si>
    <t>SNC_PROV_02</t>
  </si>
  <si>
    <t>Incumplimiento del tiempo de entrega de los Entregables y/o no coinciden con el trabajo realizado.</t>
  </si>
  <si>
    <t>0.5% del precio total por el servicio de  implementación asignado.</t>
  </si>
  <si>
    <t>SNC_PROV_03</t>
  </si>
  <si>
    <t>Pérdida parcial o total del equipamiento asignado. (Ver acápite 5 del presente documento)</t>
  </si>
  <si>
    <t>Muy Grave</t>
  </si>
  <si>
    <t>Reposición total del valor del equipamiento y reasignación a otro contratista. Se  retiene servicios hasta el monto de reposición de equipos y/o se hará efectiva la Carta Fianza.</t>
  </si>
  <si>
    <t>SNC_PROV_04</t>
  </si>
  <si>
    <t>Incumplimiento de procedimientos de acceso a sites de Entel.</t>
  </si>
  <si>
    <t>5% del precio total del servicio de  implementación asignado. De registrarse una segunda vez esta misma deficiencia en dos meses de operación el % ascenderá a 10%, una tercera vez se analizará la continuidad de la contratista.</t>
  </si>
  <si>
    <t>Afectación comprobada de servicios que no fueron contemplados en la MOP, por errores de procedimientos de implementación de nodo.      ( se consideran afectaciones, los trabajos realizados  fuera de los horarios registrados en la MOP)</t>
  </si>
  <si>
    <t>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t>
  </si>
  <si>
    <t>SNC_PROV_06</t>
  </si>
  <si>
    <t>Daños a activos fijos o inmobiliarios en proceso de implementación</t>
  </si>
  <si>
    <t>Reposición completa por los daños ocasionados, en caso de reincidencia se cobraría multa del 1% del precio de la implementación en curso, más la reposición completa de  los daños. De registrarse  una tercera vez se analizara la continuidad de la contratista.</t>
  </si>
  <si>
    <t>SNC_PROV_07</t>
  </si>
  <si>
    <t>Levantamiento comprobado de contingencia en sitio(que involucren gastos de mediación, perjuicio de la Comunidad y/o nombre de Entel)</t>
  </si>
  <si>
    <t>Se cargara la totalidad del gasto por mediación a cuenta de la Contrata, si es reiterativo (=&gt; 2 oportunidades) se procederá a apartar a la contrata del panel de contratistas, si la falta es en directo perjuicio de la comunidad o el nombre de Entel, se iniciaran las acciones legales adicionales que ampara la ley vigente.</t>
  </si>
  <si>
    <t>SNC_PROV_08</t>
  </si>
  <si>
    <t>Incumplimiento a la atención de reclamos y no conformidades</t>
  </si>
  <si>
    <t>0.5% por cada día de retraso del servicio asignado.  De registrarse una segunda vez esta misma deficiencia en dos meses de operación el % ascenderá a 2%,de registrarse una tercera vez el % a penalizar será del 5%, de volverse a registrar estas deficiencias en el periodo de dos  meses  de operación continua, por una cuarta vez se evaluara la continuidad de contratista en el proyecto.</t>
  </si>
  <si>
    <t>SNC_PROV_09</t>
  </si>
  <si>
    <t>Incumplimiento en completar información de asignaciones sobre herramientas online de gestión end to end de proyectos de ENTEL</t>
  </si>
  <si>
    <t>5% del precio total del servicio de  implementación asignado. De registrarse una segunda vez esta misma deficiencia en dos meses de operación el % ascenderá a 10%, una tercera vez se analizara la continuidad de la contratista.</t>
  </si>
  <si>
    <t>SNC_PROV_10</t>
  </si>
  <si>
    <t>Uso no autorizado por Entel de equipamiento entregado</t>
  </si>
  <si>
    <t>No seguir las políticas, procedimientos y disposiciones de Entel para manejo y almacenaje de equipamiento</t>
  </si>
  <si>
    <t>SNC_PROV_12</t>
  </si>
  <si>
    <t>Uso de equipos de medición no calibrados o con certificados de calibración emitidos por entidades no acreditadas.</t>
  </si>
  <si>
    <t>SNC_PROV_13</t>
  </si>
  <si>
    <t xml:space="preserve">0.5% de la liquidación de la implementación por día de atraso (con un máximo de 20% dependiendo de la criticidad del sitio implementado). </t>
  </si>
  <si>
    <t>SNC_PROV_14</t>
  </si>
  <si>
    <t>0.5% de la liquidación de la implementación por día de atraso (con un máximo de 20% dependiendo de la criticidad del sitio implementado).</t>
  </si>
  <si>
    <t>SNC_PROV_15</t>
  </si>
  <si>
    <t xml:space="preserve">Pérdida parcial o total del equipamiento asignado. </t>
  </si>
  <si>
    <t>Reposición total del valor del equipamiento y reasignación a otro contratista previa evaluación de ENTEL. Se retiene servicios hasta el monto de reposición de equipos y/o se hará efectiva la Carta Fianza.</t>
  </si>
  <si>
    <t>SNC_PROV_16</t>
  </si>
  <si>
    <t>0.5% de la liquidación del servicio de implementación asignado.</t>
  </si>
  <si>
    <t>SNC_PROV_17</t>
  </si>
  <si>
    <t>Afectación comprobada de servicios que no fueron contemplados en la MOP, por errores de procedimientos de implementación. (Se consideran afectaciones, los trabajos realizados fuera de los horarios registrados en la MOP)</t>
  </si>
  <si>
    <r>
      <t>0.05% de la liquidación de la implementación en curso asignado, cuantificando por minuto como factor de cada elemento de red afectado. (#Servicios * 0.05% del costo de implementación * por minutos de afectación)</t>
    </r>
    <r>
      <rPr>
        <sz val="10"/>
        <color rgb="FFFF0000"/>
        <rFont val="Arial"/>
        <family val="2"/>
      </rPr>
      <t xml:space="preserve"> </t>
    </r>
    <r>
      <rPr>
        <sz val="10"/>
        <color theme="1"/>
        <rFont val="Arial"/>
        <family val="2"/>
      </rPr>
      <t>(Con un máximo de 20% dependiendo de la criticidad del sitio implementado).</t>
    </r>
  </si>
  <si>
    <t>SNC_PROV_18</t>
  </si>
  <si>
    <t>Daños a activos fijos o inmobiliarios en proceso de implementación de ENTEL o Local de trabajo externo.</t>
  </si>
  <si>
    <t>Reposición completa por los daños ocasionados, en caso de reincidencia se cobraría multa del 1% del precio de la implementación en curso, más la reposición completa de los daños.</t>
  </si>
  <si>
    <t>SNC_PROV_19</t>
  </si>
  <si>
    <t>Incumplimiento a la atención de no conformidades.</t>
  </si>
  <si>
    <t>0.5% por cada día de retraso del servicio asignado.  De registrarse una segunda vez esta misma deficiencia en dos meses de operación el % ascenderá a 2%, de registrarse una tercera vez el % a penalizar será del 5%, de volverse a registrar estas deficiencias en el periodo de dos meses de operación continua, por una cuarta vez se evaluará la continuidad de contratista en el proyecto.</t>
  </si>
  <si>
    <t>SNC_PROV_20</t>
  </si>
  <si>
    <t>5% del precio total de la liquidación. De registrarse una segunda vez esta misma deficiencia en dos meses de operación el porcentaje ascenderá a 10%, una tercera vez se analizará la continuidad de la contratista.</t>
  </si>
  <si>
    <t>SNC_PROV_21</t>
  </si>
  <si>
    <t>Devolución de equipamiento desmontado y/o equipamiento de backup. (equipo que se entrega de forma preventiva para atender el trabajo asignado). El equipamiento debe encontrase limpios y rotulados con el estado de funcionamiento (Operativo o Defectuoso).</t>
  </si>
  <si>
    <t>5% del precio total de la liquidación por cada día de retraso en la devolución del equipamiento. (Hasta un máximo del 20%).</t>
  </si>
  <si>
    <t>SNC_PROV_22</t>
  </si>
  <si>
    <t>Implementar un diseño distinto al aprobado, no cumplir las especificaciones técnicas brindados por ENTEL y/o utilizar equipos no homologados por ENTEL.</t>
  </si>
  <si>
    <t>5% del precio total de la liquidación y la corrección del cambio a cuenta del contratista.</t>
  </si>
  <si>
    <t>SNC_PROV_23</t>
  </si>
  <si>
    <t>La entrega de información falsa en personal, documentación, acuerdos no éticos, etc</t>
  </si>
  <si>
    <t>5% del precio total de la liquidación y la reasignación del sitio.</t>
  </si>
  <si>
    <t>SNC_PROV_24</t>
  </si>
  <si>
    <t>Presentarse a brindar el servicio sin el personal adecuado, las herramientas, vestimenta e identificación para realizar el servicio solicitado.</t>
  </si>
  <si>
    <t>0.5 % del precio total de la liquidación.</t>
  </si>
  <si>
    <t>SNC_PROV_25</t>
  </si>
  <si>
    <t>Brindar cualquier tipo de declaración a los Clientes relacionados con la operación del negocio sin la autorización expresa de Entel.</t>
  </si>
  <si>
    <t>5 % del precio total de la liquidación.</t>
  </si>
  <si>
    <t>SNC_PROV_26</t>
  </si>
  <si>
    <t>Incumplimiento injustificado en el tiempo de entrega de la documentación correspondiente al diseño.</t>
  </si>
  <si>
    <t>3% de la liquidación del diseño por día de atraso (con un máximo de 30% dependiendo de la criticidad del sitio diseñado).</t>
  </si>
  <si>
    <t>SNC_PROV_27</t>
  </si>
  <si>
    <t>Incumplimiento injustificado en el tiempo de entrega de la documentación correspondiente el cierre y que es revisada por el área de Diseño IB (Reporte de Optimización, Archivo Ibwave As-Built, Aprobación de indicadores de calidad, Reporte As-Built).</t>
  </si>
  <si>
    <t>SNC_PROV_28</t>
  </si>
  <si>
    <t>Incumplimiento injustificado en el plazo de atención del evento.</t>
  </si>
  <si>
    <t xml:space="preserve">0.5% del precio total de la implementación por día de atraso (con un máximo de 20% dependiendo de la criticidad del sitio implementado). En el acápite 10(CC0002) se describen los servicios de implementación afectados. </t>
  </si>
  <si>
    <t>SNC_PROV_29</t>
  </si>
  <si>
    <t>Incumplimiento del tiempo de entrega del Site Folder.</t>
  </si>
  <si>
    <t>0.5% del precio total por el servicio de implementación asignado.</t>
  </si>
  <si>
    <t>SNC_PROV_30</t>
  </si>
  <si>
    <t>Reposición total del valor del equipamiento y reasignación a otro contratista. Se retiene servicios hasta el monto de reposición de equipos y/o se hará efectiva la Carta Fianza.</t>
  </si>
  <si>
    <t>SNC_PROV_31</t>
  </si>
  <si>
    <t>5% del precio total del servicio de implementación asignado. De registrarse una segunda vez esta misma deficiencia en dos meses de operación el % ascenderá a 10%, una tercera vez se analizará la continuidad de la contratista.</t>
  </si>
  <si>
    <t>SNC_PROV_32</t>
  </si>
  <si>
    <t>Afectación comprobada de servicios que no fueron contemplados en la MOP, por errores de procedimientos de implementación de nodo.      (se consideran afectaciones, los trabajos realizados  fuera de los horarios registrados en la MOP)</t>
  </si>
  <si>
    <t>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analizara la continuidad de la contratista.</t>
  </si>
  <si>
    <t>SNC_PROV_33</t>
  </si>
  <si>
    <t>Incumplimiento en la calibración de equipos y clausulas del contrato</t>
  </si>
  <si>
    <t>SNC_PROV_34</t>
  </si>
  <si>
    <t>Reposición completa por los daños ocasionados, en caso de reincidencia se cobraría multa del 1% del precio de la implementación en curso, más la reposición completa de los daños. De registrarse una tercera vez se analizará la continuidad de la contratista.</t>
  </si>
  <si>
    <t>SNC_PROV_35</t>
  </si>
  <si>
    <t>Levantamiento comprobado de contingencia en sitio (que involucren gastos de mediación, perjuicio de la Comunidad y/o nombre de Entel)</t>
  </si>
  <si>
    <t>Se cargará la totalidad del gasto por mediación a cuenta de la Contrata, si es reiterativo (=&gt; 2 oportunidades) se procederá a apartar a la contrata del panel de proveedores, si la falta es en directo perjuicio de la comunidad o el nombre de Entel, se iniciarán las acciones legales adicionales que ampara la ley vigente.</t>
  </si>
  <si>
    <t>SNC_PROV_36</t>
  </si>
  <si>
    <t>SNC_PROV_37</t>
  </si>
  <si>
    <t>5% del precio total del servicio de implementación asignado. De registrarse una segunda vez esta misma deficiencia en dos meses de operación el % ascenderá a 10%, una tercera vez se analizará la continuidad de la contratista.</t>
  </si>
  <si>
    <t>SNC_PROV_38</t>
  </si>
  <si>
    <t>5% del precio total del servicio de implementación asignado. De registrarse una segunda vez esta misma deficiencia en dos meses de operación el % ascenderá a 10%, una tercera vez se analizara la continuidad de la contratista.</t>
  </si>
  <si>
    <t>SNC_PROV_39</t>
  </si>
  <si>
    <t>SNC_PROV_40</t>
  </si>
  <si>
    <t>Incumplimiento injustificado en el tiempo máximo de la Medición.</t>
  </si>
  <si>
    <t>Coordinador del Proyecto</t>
  </si>
  <si>
    <t>5 % de la liquidación de la implementación por día de atraso (con un máximo de 40% dependiendo de la criticidad del sitio implementado). En caso se incurra en penalidad con el MTC, sería asumida íntegramente por el contratista</t>
  </si>
  <si>
    <t>SNC_PROV_41</t>
  </si>
  <si>
    <t>Incumplimiento del tiempo de entrega de los Informes de Medición y/o no coinciden con el trabajo realizado.</t>
  </si>
  <si>
    <t>5 % de la liquidación de la implementación por día de atraso (con un máximo de 40% dependiendo de la criticidad del sitio implementado). En caso se incurra en  penalidad con el MTC, sería asumida íntegramente por el contratista</t>
  </si>
  <si>
    <t>SNC_PROV_42</t>
  </si>
  <si>
    <t>50% de la liquidación del servicio de medición asignado.</t>
  </si>
  <si>
    <t>SNC_PROV_43</t>
  </si>
  <si>
    <t>5% por cada día de retraso del servicio asignado.  De registrarse una segunda vez esta misma deficiencia en dos meses de operación el % ascenderá a 10%, de registrarse una tercera vez el % a penalizar será del 40%, de volverse a registrar estas deficiencias en el periodo de dos meses de operación continua, por una cuarta vez se evaluará la continuidad de contratista en el proyecto.</t>
  </si>
  <si>
    <t>SNC_PROV_44</t>
  </si>
  <si>
    <t>La entrega de información falsa en, cualquier información que solicite Entel producto del presente servicio.</t>
  </si>
  <si>
    <t>50% del precio total de la liquidación y la reasignación del sitio. En caso se incurra en penalidad con el MTC, sería asumida íntegramente por el contratista. Producto de este hallazgo, Entel evaluará la continuidad de contratista en el proyecto.</t>
  </si>
  <si>
    <t>SNC_PROV_46</t>
  </si>
  <si>
    <t>No brindar el servicio cumpliendo el 100% de los lineamientos establecidos en el presente documento y en el contrato.</t>
  </si>
  <si>
    <t>25 % del precio total de la liquidación.</t>
  </si>
  <si>
    <t>SNC_PROV_47</t>
  </si>
  <si>
    <t>No revisar los entregables que tiene programado de acuerdo con los sitios activados</t>
  </si>
  <si>
    <t>Incumplimiento Menor</t>
  </si>
  <si>
    <t>Coordinador responsable del servicio</t>
  </si>
  <si>
    <t>1% del monto facturado por el servicio brindado en el mes (monto de Orden de Compra) en que se cometió el incumplimiento.</t>
  </si>
  <si>
    <t>SNC_PROV_48</t>
  </si>
  <si>
    <t>No informar a la contrata que presentan observaciones en la documentación enviada.</t>
  </si>
  <si>
    <t>SNC_PROV_49</t>
  </si>
  <si>
    <t>No realizar el troubleshotting a los sitios que están próximos a su activación.</t>
  </si>
  <si>
    <t>SNC_PROV_50</t>
  </si>
  <si>
    <t xml:space="preserve">Validar el entregable cuando aún tiene pendiente de envío de documentación. </t>
  </si>
  <si>
    <t>Incumplimiento Mayor</t>
  </si>
  <si>
    <t>3% del monto facturado por el servicio brindado en el mes (monto de Orden de Compra) en que se cometió el incumplimiento.</t>
  </si>
  <si>
    <t>SNC_PROV_51</t>
  </si>
  <si>
    <t>No hacer seguimiento a las contratas que tienen observaciones en la documentación presentada.</t>
  </si>
  <si>
    <t>SNC_PROV_52</t>
  </si>
  <si>
    <t>Validar información falsa o técnicamente inadecuada incluida por el Proveedor dentro de los “entregables”</t>
  </si>
  <si>
    <t>Incumplimiento Grave</t>
  </si>
  <si>
    <t>20% del monto facturado por el servicio brindado en el mes (monto de Orden de Compra) en que se cometió el incumplimiento. Entel está facultado en rescindir el Servicio o Contrato por cometer un incumplimiento grave, sin perjuicio de la penalidad (es) ejecutada.</t>
  </si>
  <si>
    <t>SNC_PROV_53</t>
  </si>
  <si>
    <t>No mantener la confidencialidad de la información.</t>
  </si>
  <si>
    <t>SNC_PROV_54</t>
  </si>
  <si>
    <t>La no atención de una queja o reclamo, por parte de Entel, en un plazo no mayor a 2 días. a la persona o personas que brinda dicho servicio.</t>
  </si>
  <si>
    <t>SNC_PROV_55</t>
  </si>
  <si>
    <t>Al momento del troubleshooting se ingrese un comando que afecta o altere la información preconfigurada en el Nodo y genere retrasos para la solicitud de integración.</t>
  </si>
  <si>
    <t>50% del monto facturado por el servicio brindado en el mes (monto de Orden de Compra) en que se cometió el incumplimiento en caso de sufrir caídas de servicios críticos del negocio Entel. Entel está facultado en rescindir el Contrato por un incumplimiento Muy Grave, sin perjuicio de la penalidad (es) ejecutada.</t>
  </si>
  <si>
    <t>SNC_PROV_SST_01</t>
  </si>
  <si>
    <t>No observar las normas específicas en materia de protección de la seguridad y salud de los menores trabajadores.</t>
  </si>
  <si>
    <t xml:space="preserve">Coordinador del proyecto </t>
  </si>
  <si>
    <t>SNC_PROV_SST_02</t>
  </si>
  <si>
    <t>Designar a trabajadores en puestos cuyas condiciones sean incompatibles con sus características personales conocidas o sin tomar en consideración sus capacidades profesionales en materia de SST, cuando de ellas se derive un riesgo grave e inminente para la seguridad y salud de los trabajadores.</t>
  </si>
  <si>
    <t>SNC_PROV_SST_03</t>
  </si>
  <si>
    <t>Las acciones y omisiones que impidan el ejercicio del derecho de los trabajadores para paralizar sus actividades en los casos de riesgo grave e inminente.</t>
  </si>
  <si>
    <t>No adoptar las medidas preventivas aplicables a las condiciones de trabajo de los que se derive un riesgo grave e inminente para la seguridad de los trabajadores.</t>
  </si>
  <si>
    <t>SNC_PROV_SST_05</t>
  </si>
  <si>
    <t>El incumplimiento de las obligaciones establecidas en las disposiciones relacionadas con la SST, en materia de coordinación entre empresas que desarrollen actividades en un mismo centro de trabajo, cuando se trate de actividades calificadas de alto riesgo.</t>
  </si>
  <si>
    <t>SNC_PROV_SST_06</t>
  </si>
  <si>
    <t>No implementar un sistema de gestión de seguridad y salud en el trabajo o no tener un reglamento de seguridad y salud en el trabajo.</t>
  </si>
  <si>
    <t>SNC_PROV_SST_07</t>
  </si>
  <si>
    <t>No desarrollar las evaluaciones médicas ocupacionales a los trabajadores.</t>
  </si>
  <si>
    <t>SNC_PROV_SST_08</t>
  </si>
  <si>
    <t>No asegurar a los trabajadores asignados para la ejecución del servicio en las obligaciones relativas al seguro complementario de trabajo de riesgo.</t>
  </si>
  <si>
    <t>SNC_PROV_SST_09</t>
  </si>
  <si>
    <t>Ingreso  a obra de personal operativo o supervisión asignado por el proveedor y/o locador y/o contratista sin recibir su inducción de SST.</t>
  </si>
  <si>
    <t>SNC_PROV_SST_10</t>
  </si>
  <si>
    <t>No contar con un Ingeniero de SST durante la ejecución del servicio</t>
  </si>
  <si>
    <t>SNC_PROV_SST_11</t>
  </si>
  <si>
    <t>No realizar los reconocimientos médicos y pruebas de vigilancia periódica del estado de salud de los trabajadores asignados al servicio.</t>
  </si>
  <si>
    <t>SNC_PROV_SST_12</t>
  </si>
  <si>
    <t>La falta de orden y limpieza en el área de trabajo que implique riesgos para la integridad física y salud de los trabajadores.</t>
  </si>
  <si>
    <t>Moderada</t>
  </si>
  <si>
    <t>SNC_PROV_SST_13</t>
  </si>
  <si>
    <t>No llevar a cabo las evaluaciones de riesgos y los controles periódicos de las condiciones de trabajo y de las actividades de los trabajadores o no realizar aquellas actividades de prevención que sean necesarias según los resultados de las evaluaciones.</t>
  </si>
  <si>
    <t>SNC_PROV_SST_14</t>
  </si>
  <si>
    <t>No comunicar los accidentes de trabajo mortales o de los incidentes ocurridos en el proyecto o no llevar a cabo la investigación en caso de producirse daños físicos o a la salud de los trabajadores o de tenerse indicios que las medidas preventivas son insuficientes.</t>
  </si>
  <si>
    <t>SNC_PROV_SST_15</t>
  </si>
  <si>
    <t>No realizar los reconocimientos médicos y pruebas de vigilancia periódica del estado de salud de los trabajadores asignados al proyecto.</t>
  </si>
  <si>
    <t>SNC_PROV_SST_16</t>
  </si>
  <si>
    <t>El incumplimiento de las obligaciones de implementar y mantener actualizados los registros o disponer de la documentación que exigen las disposiciones legales vigentes relacionadas con la SST y aquellas que ENTEL disponga.</t>
  </si>
  <si>
    <t>SNC_PROV_SST_17</t>
  </si>
  <si>
    <t>El incumplimiento de la obligación de planificar la acción preventiva de riesgos para la SST, así como el incumplimiento de la obligación de elaborar un programa de SST.</t>
  </si>
  <si>
    <t>SNC_PROV_SST_18</t>
  </si>
  <si>
    <t>No cumplir con las obligaciones en materia de formación e información suficiente y adecuada a los trabajadores acerca de los riesgos del puesto de trabajo y sobre las medidas preventivas aplicables.</t>
  </si>
  <si>
    <t>SNC_PROV_SST_19</t>
  </si>
  <si>
    <t>Los incumplimientos de las disposiciones relacionadas con la SST, en particular en materia de lugares de trabajo, herramientas, máquinas y equipos, agentes físicos, químicos y biológicos, riesgos ergonómicos y psicosociales, medidas de protección colectiva, equipos de protección personal, señalización de seguridad, etiquetado y envasado de sustancias peligrosas, almacenamiento, servicios o medidas de higiene personal, de los que se derive un riesgo grave para la seguridad o salud de los trabajadores.</t>
  </si>
  <si>
    <t>SNC_PROV_SST_20</t>
  </si>
  <si>
    <t>No adoptar las medidas necesarias en materia de primeros auxilios, lucha contra incendios y evacuación de los trabajadores.</t>
  </si>
  <si>
    <t>SNC_PROV_SST_21</t>
  </si>
  <si>
    <t>El incumplimiento de las obligaciones establecidas en las disposiciones legales vigentes relacionadas con la SST, en materia de coordinación entre empresas que desarrollen actividades en la misma área de trabajo.</t>
  </si>
  <si>
    <t>SNC_PROV_SST_22</t>
  </si>
  <si>
    <t>La vulneración de los derechos de información, consulta y participación de los trabajadores reconocidos en la normativa sobre prevención de riesgos laborales.</t>
  </si>
  <si>
    <t>SNC_PROV_SST_23</t>
  </si>
  <si>
    <t>El incumplimiento de las obligaciones relativas a la realización de inspecciones en el área de trabajo asignado.</t>
  </si>
  <si>
    <t>SNC_PROV_SST_24</t>
  </si>
  <si>
    <t>No cumplir las obligaciones relativas al seguro complementario de trabajo de riesgo a favor de sus trabajadores.</t>
  </si>
  <si>
    <t>SNC_PROV_SST_25</t>
  </si>
  <si>
    <t>No cumplir con los lineamientos de seguridad establecidos por ENTEL</t>
  </si>
  <si>
    <t>SNC_PROV_SST_26</t>
  </si>
  <si>
    <t>La falta de orden y limpieza en el área de trabajo que no implique riesgo para la integridad física y salud de los trabajadores.</t>
  </si>
  <si>
    <t>Leve</t>
  </si>
  <si>
    <t>SNC_PROV_SST_27</t>
  </si>
  <si>
    <t>Los incumplimientos de las disposiciones relacionadas con la prevención de riesgos, siempre que carezcan de trascendencia grave para la integridad física o salud de los trabajadores.</t>
  </si>
  <si>
    <t>SNC_PROV_SST_28</t>
  </si>
  <si>
    <t>Cualquier otro incumplimiento que afecte las obligaciones de carácter formal o documental, exigidas en la normativa de prevención de riesgos y no estén tipificados como graves.</t>
  </si>
  <si>
    <t>Penalidades</t>
  </si>
  <si>
    <t>Contratas</t>
  </si>
  <si>
    <t>Proyectos</t>
  </si>
  <si>
    <t>Rollout</t>
  </si>
  <si>
    <t>Miguel de Los Santos</t>
  </si>
  <si>
    <t>Abierto</t>
  </si>
  <si>
    <t>Inbuilding</t>
  </si>
  <si>
    <t>RAN SHARING</t>
  </si>
  <si>
    <t>Jose Arroyo</t>
  </si>
  <si>
    <t>Cerrado</t>
  </si>
  <si>
    <t>Eventos</t>
  </si>
  <si>
    <t>SEMI</t>
  </si>
  <si>
    <t>Carolina Lazarte</t>
  </si>
  <si>
    <t>RNI</t>
  </si>
  <si>
    <t>Rev. Entregables y QA</t>
  </si>
  <si>
    <t>SWAP Baterias</t>
  </si>
  <si>
    <t>Dennis Evangelista</t>
  </si>
  <si>
    <t>SST</t>
  </si>
  <si>
    <t>IyM</t>
  </si>
  <si>
    <t>John Artica</t>
  </si>
  <si>
    <t>MERIT</t>
  </si>
  <si>
    <t>Baja Altura</t>
  </si>
  <si>
    <t>EZENTIS</t>
  </si>
  <si>
    <t>Amp y Remode IB</t>
  </si>
  <si>
    <t>AJ</t>
  </si>
  <si>
    <t>CJ TELECOM</t>
  </si>
  <si>
    <t>Indoor</t>
  </si>
  <si>
    <t>Cosite 700</t>
  </si>
  <si>
    <t>RD TELECOM</t>
  </si>
  <si>
    <t>SWAP + NR</t>
  </si>
  <si>
    <t>JyS</t>
  </si>
  <si>
    <t>Regulatorio APT</t>
  </si>
  <si>
    <t>SILVERCOM</t>
  </si>
  <si>
    <t>Cantidad de SNC por Proyecto</t>
  </si>
  <si>
    <t>Cantidad de SNC por Proyecto Aplicado a Proveedor</t>
  </si>
  <si>
    <t>Monto de Penalidad Aplicado a Cada Contrata</t>
  </si>
  <si>
    <t>SNC por Contrata</t>
  </si>
  <si>
    <t>Acumulado de SNC Mensual</t>
  </si>
  <si>
    <t>Severidad de la SNC</t>
  </si>
  <si>
    <t>(Varios elementos)</t>
  </si>
  <si>
    <t>Severidad de la SNC por Contrata</t>
  </si>
  <si>
    <t>SNC x Contrata x Mes</t>
  </si>
  <si>
    <t>Detalles de las SNC</t>
  </si>
  <si>
    <t>(*)</t>
  </si>
  <si>
    <t>SNC</t>
  </si>
  <si>
    <t>Valores</t>
  </si>
  <si>
    <t>Suma de Monto de la Penalidad (Soles)</t>
  </si>
  <si>
    <t>Cuenta de ID_SNC</t>
  </si>
  <si>
    <t>Ene</t>
  </si>
  <si>
    <t>Feb</t>
  </si>
  <si>
    <t>Mar</t>
  </si>
  <si>
    <t>Abr</t>
  </si>
  <si>
    <t>May</t>
  </si>
  <si>
    <t>Jun</t>
  </si>
  <si>
    <t>Jul</t>
  </si>
  <si>
    <t>Ago</t>
  </si>
  <si>
    <t>Set</t>
  </si>
  <si>
    <t>Oct</t>
  </si>
  <si>
    <t>Nov</t>
  </si>
  <si>
    <t>Dic</t>
  </si>
  <si>
    <t>Sites</t>
  </si>
  <si>
    <t>Cuenta de Site</t>
  </si>
  <si>
    <t>Etiquetas de columna</t>
  </si>
  <si>
    <t>Total</t>
  </si>
  <si>
    <t>SNC x Mes</t>
  </si>
  <si>
    <t>Total general</t>
  </si>
  <si>
    <t>SNC Acc</t>
  </si>
  <si>
    <t>REUBICACIONES</t>
  </si>
  <si>
    <t>Afectación de Servicio</t>
  </si>
  <si>
    <t>SST - Errores en el Reporte</t>
  </si>
  <si>
    <t>SST - Sin Extintor</t>
  </si>
  <si>
    <t>SST - Team Leader en Torre</t>
  </si>
  <si>
    <t>Incumplimiento SLA Implementación</t>
  </si>
  <si>
    <t>Servicios No Conformes del Proveedor</t>
  </si>
  <si>
    <r>
      <t>Í</t>
    </r>
    <r>
      <rPr>
        <b/>
        <sz val="10"/>
        <color rgb="FF000000"/>
        <rFont val="Arial"/>
        <family val="2"/>
      </rPr>
      <t>tem</t>
    </r>
  </si>
  <si>
    <t>Proceso</t>
  </si>
  <si>
    <t>Servicio/
Proyecto</t>
  </si>
  <si>
    <t>Concurso/RFP</t>
  </si>
  <si>
    <t>Criterio</t>
  </si>
  <si>
    <t>Conformidad del servicio</t>
  </si>
  <si>
    <t xml:space="preserve">Implementación </t>
  </si>
  <si>
    <r>
      <t>Í</t>
    </r>
    <r>
      <rPr>
        <b/>
        <sz val="11"/>
        <color rgb="FF000000"/>
        <rFont val="Arial"/>
        <family val="2"/>
      </rPr>
      <t>tem</t>
    </r>
  </si>
  <si>
    <t>Todos</t>
  </si>
  <si>
    <t>Políticas y procedimientos de SST</t>
  </si>
  <si>
    <t>Cumplimiento de las políticas de SST en campo</t>
  </si>
  <si>
    <t>Cumplimiento de los controles y políticas de la Gestión de SST</t>
  </si>
  <si>
    <t>MACRO</t>
  </si>
  <si>
    <t>INBUILDING</t>
  </si>
  <si>
    <t xml:space="preserve">INCUMPLIMIENTO AL SERVICIO </t>
  </si>
  <si>
    <t>Severidad</t>
  </si>
  <si>
    <t>Penalidad</t>
  </si>
  <si>
    <t>ítem</t>
  </si>
  <si>
    <t xml:space="preserve">INCUMPLIMIENTO DEL SERVICIO </t>
  </si>
  <si>
    <r>
      <t>0.05% de la liquidación de la implementación en curso asignado, cuantificando por minuto como factor de cada elemento de red afectado. (#Servicios * 0.05% del costo de implementación * por minutos de afectación)</t>
    </r>
    <r>
      <rPr>
        <sz val="9"/>
        <color rgb="FFFF0000"/>
        <rFont val="Arial"/>
        <family val="2"/>
      </rPr>
      <t xml:space="preserve"> </t>
    </r>
    <r>
      <rPr>
        <sz val="9"/>
        <color theme="1"/>
        <rFont val="Arial"/>
        <family val="2"/>
      </rPr>
      <t>(Con un máximo de 20% dependiendo de la criticidad del sitio implementado).</t>
    </r>
  </si>
  <si>
    <r>
      <t>5</t>
    </r>
    <r>
      <rPr>
        <sz val="9"/>
        <color theme="1"/>
        <rFont val="Arial"/>
        <family val="2"/>
      </rPr>
      <t>% del precio total de la liquidación. De registrarse una segunda vez esta misma deficiencia en dos meses de operación el porcentaje ascenderá a 10%, una tercera vez se analizará la continuidad de la contratista.</t>
    </r>
  </si>
  <si>
    <t>FO</t>
  </si>
  <si>
    <t>CONCURSO CIT-C-005-21</t>
  </si>
  <si>
    <t>SNC_FO_TX_01</t>
  </si>
  <si>
    <t>SNC_FO_TX_02</t>
  </si>
  <si>
    <t>SNC_FO_TX_03</t>
  </si>
  <si>
    <t>SNC_FO_TX_04</t>
  </si>
  <si>
    <t>SNC_FO_TX_05</t>
  </si>
  <si>
    <t>SNC_FO_TX_06</t>
  </si>
  <si>
    <t>SNC_FO_TX_07</t>
  </si>
  <si>
    <t>SNC_FO_TX_08</t>
  </si>
  <si>
    <t>SNC_FO_TX_09</t>
  </si>
  <si>
    <t>SNC_FO_TX_10</t>
  </si>
  <si>
    <t>SNC_FO_TX_11</t>
  </si>
  <si>
    <t>SNC_FO_TX_12</t>
  </si>
  <si>
    <t>5% por cada día de retraso del servicio asignado</t>
  </si>
  <si>
    <t>0.5% por cada día de retraso del servicio total asignado</t>
  </si>
  <si>
    <t>1% del monto total del servicio, por día de atraso y hasta por un máximo de 30%</t>
  </si>
  <si>
    <t>Entrega de información falsa</t>
  </si>
  <si>
    <t xml:space="preserve">Retiro del personal involucrado, descuento del 50% del monto total del servicio y no entrega de nuevos servicios </t>
  </si>
  <si>
    <t>Entrega de Planos Asbuild con retraso</t>
  </si>
  <si>
    <t xml:space="preserve">Incumplimiento del tiempo de entrega de los requerimientos de implementación </t>
  </si>
  <si>
    <t xml:space="preserve">0.5% diario del precio total por el servicio de implementación asignado, luego del vencimiento(día 10 calendario) </t>
  </si>
  <si>
    <t>Pérdida parcial o total del equipamiento y/o material asignado</t>
  </si>
  <si>
    <t>Reposición total del valor del equipamiento y reasignación a otra Empresa. Se retiene pago de servicios hasta el monto de reposición de equipos y/o se hará efectiva la Carta Fianza.</t>
  </si>
  <si>
    <t>Incumplimiento de procedimientos de acceso a sites de Entel, Despliegues Verticales, Corporativos</t>
  </si>
  <si>
    <t>5% del precio total del servicio de implementación asignado.</t>
  </si>
  <si>
    <t>Uso de equipos de medición no calibrados o con certificados de calibración vencidos.</t>
  </si>
  <si>
    <t>5% del servicio facturado</t>
  </si>
  <si>
    <t>Uso de certificados de calibración fraudulentos o emitidos por entidades no acreditadas.</t>
  </si>
  <si>
    <t>Afectación comprobada de servicios que no fueron contemplados en la MOP, por errores de procedimientos de implementación de nodos, microondas media y alta capacidad. ( se consideran afectaciones, los trabajos realizados  fuera de los horarios registrados en la MOP)</t>
  </si>
  <si>
    <t>0.05% del precio de la implementación en curso asignado (de ser asignado un servicio complementario mínimo, el monto de referencia para la penalidad será asociada al servicio principal), cuantificando por minuto como factor de cada elemento de red afectado. (#Servicios * 0.05% del costo de implementación * por minutos de afectación), con un monto mínimo de $10.000.- Dólares US. (No se considera un monto máximo de penalidad para este tipo de afectación).  En caso la Empresa incurra en la falta y no subsane la afectación y  esta sea resuelta por otra empresa de Entel, la penalidad se incrementará en un 50%.</t>
  </si>
  <si>
    <t>Reposición completa por los daños ocasionados, en caso de reincidencia se cobraría multa del 1% del precio de la implementación en curso, más la reposición completa de  los daños.</t>
  </si>
  <si>
    <t>Se cargará 100% del gasto por mediación a cuenta de la Empresa, si es reiterativo (mayor o igual a 2 eventos) se procederá a apartar a la Empresa del panel de proveedores, si la falta es en directo perjuicio de la comunidad o el nombre de Entel, se iniciarán las acciones legales adicionales que ampara la ley vigente cobrándose de las cartas de garantía.</t>
  </si>
  <si>
    <t>No presentarse a ejecutar obras sin la comunicación y aprobación de Entel</t>
  </si>
  <si>
    <t>Reasignación de trabajos, multa del 10% total de la asignación, segunda falta se hará efectiva la Carta Fianza</t>
  </si>
  <si>
    <t>Incumplimiento de entregables y/o entregables observados y/o no viables, que perjudiquen la continuidad del proceso de instalación u operación</t>
  </si>
  <si>
    <t>Regularización de información en máximo de 24hrs, siendo la multa de 10% de la asignación diario por día de atraso</t>
  </si>
  <si>
    <t>Incumplimiento de requerimiento expreso de Entel</t>
  </si>
  <si>
    <t>Se aplicará multa del 20% de la asignación, si se genera una segunda no conformidad por este concepto se determinará dejar fuera del panel de proveedores</t>
  </si>
  <si>
    <t>Probidad</t>
  </si>
  <si>
    <t>En caso se compruebe algún acto que ponga en evidencia la integridad de la Empresa, se dejara fuera del Panel de Proveedores y se harán efectiva las Carta Fianza</t>
  </si>
  <si>
    <t>No cumplir con normas de seguridad en calles generando algún tipo de incidente</t>
  </si>
  <si>
    <t>La Empresa se hará cargo de la totalidad de los costos por este tipo de incidentes, por no cumplir con las normas municipales, eléctricas u otras que ocasionen un directo perjuicio a personal interno como externo, dejando a disposición de Entel las posibles acciones legales por este no cumplimiento</t>
  </si>
  <si>
    <t>No cumplir con Política de Llaves (recojo y devolución)</t>
  </si>
  <si>
    <t>Uso de Indumentaria, fotocheck y/o vehículo con logo de otro Operador</t>
  </si>
  <si>
    <t>Descuido en la obra produciendo algún tipo de riesgo a los trabajadores o personal externo</t>
  </si>
  <si>
    <t>Designar a trabajadores en puestos cuyas condiciones sean incompatibles con sus características personales conocidas o sin tomar en consideración sus capacidades profesionales en materia de SST, cuando de ellas se derive un riesgo grave e inminente para la seguridad y salud de los trabajadores</t>
  </si>
  <si>
    <t>No designar un Ingeniero de SST.</t>
  </si>
  <si>
    <t>CONCURSO CIT-C-028-19</t>
  </si>
  <si>
    <t>SNC_FO_TX_13</t>
  </si>
  <si>
    <t>SNC_FO_TX_14</t>
  </si>
  <si>
    <t>SNC_FO_TX_15</t>
  </si>
  <si>
    <t>SNC_FO_TX_16</t>
  </si>
  <si>
    <t>SNC_FO_TX_17</t>
  </si>
  <si>
    <t>SNC_FO_TX_18</t>
  </si>
  <si>
    <t>SNC_FO_TX_19</t>
  </si>
  <si>
    <t>SNC_FO_TX_20</t>
  </si>
  <si>
    <t>SNC_FO_TX_21</t>
  </si>
  <si>
    <t>SNC_FO_TX_22</t>
  </si>
  <si>
    <t>SNC_FO_TX_23</t>
  </si>
  <si>
    <t>SNC_FO_TX_24</t>
  </si>
  <si>
    <t>Servicio No Conforme (incumplimiento)</t>
  </si>
  <si>
    <r>
      <t>Ingeniería de Detalle:</t>
    </r>
    <r>
      <rPr>
        <sz val="10"/>
        <color rgb="FFFF0000"/>
        <rFont val="Arial"/>
        <family val="2"/>
      </rPr>
      <t xml:space="preserve"> &gt;</t>
    </r>
    <r>
      <rPr>
        <sz val="10"/>
        <color theme="1"/>
        <rFont val="Arial"/>
        <family val="2"/>
      </rPr>
      <t xml:space="preserve"> 1 día calendario por cada 4 km lineal.</t>
    </r>
  </si>
  <si>
    <r>
      <t xml:space="preserve">Entrega de TSS (Todos los planos, N° de postes, calles, etc.):  </t>
    </r>
    <r>
      <rPr>
        <sz val="10"/>
        <color rgb="FFFF0000"/>
        <rFont val="Arial"/>
        <family val="2"/>
      </rPr>
      <t>&gt;</t>
    </r>
    <r>
      <rPr>
        <sz val="10"/>
        <color theme="1"/>
        <rFont val="Arial"/>
        <family val="2"/>
      </rPr>
      <t xml:space="preserve"> 2 días después de terminada la Ingeniería de Detalle</t>
    </r>
  </si>
  <si>
    <t>Gestión de Permisos: &gt; 15 días calendario</t>
  </si>
  <si>
    <t>Instalación Postes: &gt; 1 dia calendário (8 postes por brigada)</t>
  </si>
  <si>
    <t xml:space="preserve">Tendido Aéreo &gt; 1 día calendario (para 500 m. por brigada) </t>
  </si>
  <si>
    <t>Canalizado: &gt; 1 día calendario (para 50m. por brigada)</t>
  </si>
  <si>
    <t>Microcanalizado: &gt; 1 día calendario (para 70 m. por brigada)</t>
  </si>
  <si>
    <t>Ing. e Implementación Tx</t>
  </si>
  <si>
    <t>Implementación TX</t>
  </si>
  <si>
    <t>1% por cada día de retraso del servicio asignado</t>
  </si>
  <si>
    <t>Ingeniería</t>
  </si>
  <si>
    <t xml:space="preserve">Información falsa </t>
  </si>
  <si>
    <t>Cobro de la carta fianza y la no asignación de nuevos servicios.</t>
  </si>
  <si>
    <t>Inicio de obra sin autorización de Entel</t>
  </si>
  <si>
    <t xml:space="preserve">Diez por ciento 10% del monto total del servicio y la no entrega de nuevos servicios. </t>
  </si>
  <si>
    <t>Incumplimiento injustificado en el tiempo máximo de implementación/LoS/Estudio de Interferencia</t>
  </si>
  <si>
    <t xml:space="preserve">0.5% del precio total de la implementación por día de atraso (con un máximo de 20% dependiendo de la criticidad del sitio implementado). En el acápite 10 (CC0002) se describen los servicios de implementación afectados </t>
  </si>
  <si>
    <t>Incumplimiento del tiempo de entrega del Site Folder/LoS/Estudio de Interferencia</t>
  </si>
  <si>
    <t>0.5% del precio total por el servicio implementación asignada.</t>
  </si>
  <si>
    <t>Pérdida parcial o total del equipamiento y/o suministro asignado (desde que se hace la entrega a contratista)</t>
  </si>
  <si>
    <t>20% del precio total del servicio asignado.</t>
  </si>
  <si>
    <t>Afectación comprobada de servicios que no fueron contemplados en la MOP, por errores de procedimientos de implementación de nodos, microondas media y alta capacidad. (se consideran afectaciones, los trabajos realizados  fuera de los horarios registrados en la MOP)</t>
  </si>
  <si>
    <t>0.05% del precio de la implementación en curso asignado (de ser asignado un servicio complementario mínimo, el monto de referencia para la penalidad será asociada al servicio principal), cuantificando por minuto como factor de cada elemento de red afectado. (#Servicios * 0.05% del costo de implementación * por minutos de afectación), con un monto mínimo de $10.000.- Dólares US. (No se considera un monto máximo de penalidad para este tipo de afectación).  En caso el proveedor incurra en la falta y no subsane la afectación y  esta sea resuelta por otro proveedor de Entel, la penalidad se incrementará en un 50%.</t>
  </si>
  <si>
    <t>Reposición completa por los daños ocasionados, en caso de reincidencia se cobraría multa del 100% del precio de la implementación en curso, más la reposición completa de los daños.</t>
  </si>
  <si>
    <t>No cumplimiento de actividades descritas en la MOP y que estén injustificados</t>
  </si>
  <si>
    <t xml:space="preserve">Se descontará 100% de la OC en curso y se aplicará la penalidad 5. </t>
  </si>
  <si>
    <t>Clean up por mala instalación</t>
  </si>
  <si>
    <t>Cada vez que se deba enviar a realizar un Clean Up por mala instalación, se procederá a sancionar con un 20% de la OC en curso, en caso ENTEL haya liberado la totalidad del pago, la contratista deberá emitir una Nota de Crédito por el importe.</t>
  </si>
  <si>
    <t>No cumplimiento de actividadesmodalidad flat mensual</t>
  </si>
  <si>
    <t>Se descontará 20% de la OC en curso</t>
  </si>
  <si>
    <t>Ingeniería e Implementación</t>
  </si>
  <si>
    <t>SNC_ING_TX_01</t>
  </si>
  <si>
    <t>SNC_ING_TX_02</t>
  </si>
  <si>
    <t>SNC_ING_TX_03</t>
  </si>
  <si>
    <t>SNC_ING_TX_04</t>
  </si>
  <si>
    <t>SNC_ING_TX_05</t>
  </si>
  <si>
    <t>SNC_ING_TX_06</t>
  </si>
  <si>
    <t>SNC_ING_TX_07</t>
  </si>
  <si>
    <t>SNC_ING_TX_08</t>
  </si>
  <si>
    <t>SNC_ING_TX_09</t>
  </si>
  <si>
    <t>SNC_ING_TX_10</t>
  </si>
  <si>
    <t>SNC_ING_TX_11</t>
  </si>
  <si>
    <t>SNC_ING_TX_12</t>
  </si>
  <si>
    <t>SNC_ING_TX_13</t>
  </si>
  <si>
    <t>SNC_ING_TX_14</t>
  </si>
  <si>
    <t>SNC_ING_TX_15</t>
  </si>
  <si>
    <t>SNC_ING_TX_16</t>
  </si>
  <si>
    <t>SNC_ING_TX_17</t>
  </si>
  <si>
    <t>SNC_ING_TX_18</t>
  </si>
  <si>
    <t>SNC_ING_TX_19</t>
  </si>
  <si>
    <t>SNC_ING_TX_20</t>
  </si>
  <si>
    <t>SNC_ING_TX_21</t>
  </si>
  <si>
    <t>SNC_ING_TX_22</t>
  </si>
  <si>
    <r>
      <t xml:space="preserve">Implementación Enlace microondas </t>
    </r>
    <r>
      <rPr>
        <sz val="11"/>
        <color rgb="FFFF0000"/>
        <rFont val="Arial"/>
        <family val="2"/>
      </rPr>
      <t>&gt;</t>
    </r>
    <r>
      <rPr>
        <sz val="11"/>
        <color theme="1"/>
        <rFont val="Arial"/>
        <family val="2"/>
      </rPr>
      <t xml:space="preserve"> 4 días calendario</t>
    </r>
  </si>
  <si>
    <r>
      <t xml:space="preserve">Implementación Enlaces microondas (alta capacidad) </t>
    </r>
    <r>
      <rPr>
        <sz val="11"/>
        <color rgb="FFFF0000"/>
        <rFont val="Arial"/>
        <family val="2"/>
      </rPr>
      <t xml:space="preserve">&gt; </t>
    </r>
    <r>
      <rPr>
        <sz val="11"/>
        <color theme="1"/>
        <rFont val="Arial"/>
        <family val="2"/>
      </rPr>
      <t>7 días calendario</t>
    </r>
  </si>
  <si>
    <r>
      <t xml:space="preserve">Implementación Router Pre-Agregador (PAG) + Gabinete </t>
    </r>
    <r>
      <rPr>
        <sz val="11"/>
        <color rgb="FFFF0000"/>
        <rFont val="Arial"/>
        <family val="2"/>
      </rPr>
      <t>&gt;</t>
    </r>
    <r>
      <rPr>
        <sz val="11"/>
        <color theme="1"/>
        <rFont val="Arial"/>
        <family val="2"/>
      </rPr>
      <t xml:space="preserve"> 5 días calendario</t>
    </r>
  </si>
  <si>
    <t>Implementación Cableados Planta Interna &gt; 2 días calendario (Lima) y &gt; 3 días calendario (Provincia)</t>
  </si>
  <si>
    <t>Desmontaje de enlaces microondas &gt;  2 días calendario (Lima) y &gt; 3 días calendario (Provincia)</t>
  </si>
  <si>
    <t>Reubicación de enlaces microondas &gt; 2 días calendario (Lima) y &gt; 3 días calendario (Provincia)</t>
  </si>
  <si>
    <t>Entrega de la documentación de la implementación realizada (Site Folder) &gt; 5 días hábiles a partir de la puesta en servicio.</t>
  </si>
  <si>
    <t>Servicio de LoS &gt; 1 día calendario</t>
  </si>
  <si>
    <t>Estudio de Interferencia &gt; 2 días calendario</t>
  </si>
  <si>
    <t>Entrega de la documentación del servicio realizado &gt; 1 días hábiles (LoS) y &gt; 2 días hábiles (Estudio de Interferencia) a partir de finalizado el trabajo en campo</t>
  </si>
  <si>
    <t>ID DE DETALLE DEL CONCURSO</t>
  </si>
  <si>
    <t>7, 15, 16, 17</t>
  </si>
  <si>
    <t>4, 7, 8, 10, 11, 15, 16, 17</t>
  </si>
  <si>
    <t>15%</t>
  </si>
  <si>
    <t>10%</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</si>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</sst>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S/&quot;#,##0.00"/>
  </numFmts>
  <fonts count="21" x14ac:knownFonts="1">
    <font>
      <sz val="11"/>
      <color theme="1"/>
      <name val="Calibri"/>
      <family val="2"/>
      <scheme val="minor"/>
    </font>
    <font>
      <b/>
      <sz val="10"/>
      <color theme="1"/>
      <name val="Arial"/>
      <family val="2"/>
    </font>
    <font>
      <b/>
      <sz val="10"/>
      <color rgb="FF000000"/>
      <name val="Arial"/>
      <family val="2"/>
    </font>
    <font>
      <sz val="10"/>
      <color theme="1"/>
      <name val="Arial"/>
      <family val="2"/>
    </font>
    <font>
      <b/>
      <sz val="9"/>
      <color theme="1"/>
      <name val="Arial"/>
      <family val="2"/>
    </font>
    <font>
      <b/>
      <sz val="9"/>
      <color rgb="FF000000"/>
      <name val="Arial"/>
      <family val="2"/>
    </font>
    <font>
      <sz val="9"/>
      <color theme="1"/>
      <name val="Arial"/>
      <family val="2"/>
    </font>
    <font>
      <sz val="9"/>
      <color rgb="FFFF0000"/>
      <name val="Arial"/>
      <family val="2"/>
    </font>
    <font>
      <sz val="9"/>
      <color theme="1"/>
      <name val="Times New Roman"/>
      <family val="1"/>
    </font>
    <font>
      <b/>
      <sz val="14"/>
      <color theme="1"/>
      <name val="Calibri"/>
      <family val="2"/>
      <scheme val="minor"/>
    </font>
    <font>
      <sz val="8"/>
      <name val="Calibri"/>
      <family val="2"/>
      <scheme val="minor"/>
    </font>
    <font>
      <sz val="10"/>
      <color rgb="FFFF0000"/>
      <name val="Arial"/>
      <family val="2"/>
    </font>
    <font>
      <b/>
      <sz val="11"/>
      <color rgb="FF000000"/>
      <name val="Arial"/>
      <family val="2"/>
    </font>
    <font>
      <sz val="11"/>
      <color rgb="FF000000"/>
      <name val="Arial"/>
      <family val="2"/>
    </font>
    <font>
      <sz val="11"/>
      <color theme="1"/>
      <name val="Arial"/>
      <family val="2"/>
    </font>
    <font>
      <b/>
      <sz val="11"/>
      <color theme="1"/>
      <name val="Arial"/>
      <family val="2"/>
    </font>
    <font>
      <sz val="9"/>
      <color indexed="81"/>
      <name val="Tahoma"/>
      <family val="2"/>
    </font>
    <font>
      <b/>
      <sz val="9"/>
      <color indexed="81"/>
      <name val="Tahoma"/>
      <family val="2"/>
    </font>
    <font>
      <sz val="11"/>
      <color rgb="FF000000"/>
      <name val="Calibri"/>
      <family val="2"/>
    </font>
    <font>
      <b/>
      <sz val="18"/>
      <color theme="1"/>
      <name val="Calibri"/>
      <family val="2"/>
      <scheme val="minor"/>
    </font>
    <font>
      <sz val="11"/>
      <color rgb="FFFF0000"/>
      <name val="Arial"/>
      <family val="2"/>
    </font>
  </fonts>
  <fills count="7">
    <fill>
      <patternFill patternType="none"/>
    </fill>
    <fill>
      <patternFill patternType="gray125"/>
    </fill>
    <fill>
      <patternFill patternType="solid">
        <fgColor rgb="FFD9D9D9"/>
        <bgColor indexed="64"/>
      </patternFill>
    </fill>
    <fill>
      <patternFill patternType="solid">
        <fgColor theme="0"/>
        <bgColor indexed="64"/>
      </patternFill>
    </fill>
    <fill>
      <patternFill patternType="solid">
        <fgColor rgb="FF66FFFF"/>
        <bgColor indexed="64"/>
      </patternFill>
    </fill>
    <fill>
      <patternFill patternType="solid">
        <fgColor theme="7" tint="0.59999389629810485"/>
        <bgColor indexed="64"/>
      </patternFill>
    </fill>
    <fill>
      <patternFill patternType="solid">
        <fgColor rgb="FF92D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style="medium">
        <color auto="1"/>
      </left>
      <right style="medium">
        <color auto="1"/>
      </right>
      <top/>
      <bottom/>
      <diagonal/>
    </border>
  </borders>
  <cellStyleXfs count="2">
    <xf numFmtId="0" fontId="0" fillId="0" borderId="0"/>
    <xf numFmtId="0" fontId="18" fillId="0" borderId="0"/>
  </cellStyleXfs>
  <cellXfs count="100">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2" fillId="2" borderId="1" xfId="0" applyFont="1" applyFill="1" applyBorder="1" applyAlignment="1">
      <alignment horizontal="justify"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horizontal="justify" vertical="center" wrapText="1"/>
    </xf>
    <xf numFmtId="0" fontId="8" fillId="0" borderId="1" xfId="0" applyFont="1" applyBorder="1" applyAlignment="1">
      <alignment horizontal="justify" vertical="center" wrapText="1"/>
    </xf>
    <xf numFmtId="0" fontId="3" fillId="0" borderId="1" xfId="0" applyFont="1" applyFill="1" applyBorder="1" applyAlignment="1">
      <alignment horizontal="justify"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vertical="center" wrapText="1"/>
    </xf>
    <xf numFmtId="0" fontId="6" fillId="3" borderId="1" xfId="0" applyFont="1" applyFill="1" applyBorder="1" applyAlignment="1">
      <alignment horizontal="justify" vertical="center" wrapText="1"/>
    </xf>
    <xf numFmtId="0" fontId="9" fillId="0" borderId="0" xfId="0" applyFont="1"/>
    <xf numFmtId="0" fontId="0" fillId="0" borderId="0" xfId="0" applyAlignment="1">
      <alignment horizontal="center" vertical="center"/>
    </xf>
    <xf numFmtId="0" fontId="3" fillId="0" borderId="4" xfId="0" applyFont="1" applyFill="1" applyBorder="1" applyAlignment="1">
      <alignment horizontal="center" vertical="center" wrapText="1"/>
    </xf>
    <xf numFmtId="0" fontId="3" fillId="0" borderId="1" xfId="0" applyFont="1" applyBorder="1" applyAlignment="1">
      <alignment horizontal="center" vertical="center"/>
    </xf>
    <xf numFmtId="0" fontId="1" fillId="0" borderId="0" xfId="0" applyFont="1" applyAlignment="1">
      <alignment horizontal="center" vertical="center"/>
    </xf>
    <xf numFmtId="0" fontId="3" fillId="0" borderId="0" xfId="0" applyFont="1" applyAlignment="1">
      <alignment horizontal="center" vertical="center"/>
    </xf>
    <xf numFmtId="0" fontId="3" fillId="0" borderId="0" xfId="0" applyFont="1"/>
    <xf numFmtId="0" fontId="3" fillId="3" borderId="1" xfId="0" applyFont="1" applyFill="1" applyBorder="1" applyAlignment="1">
      <alignment vertical="center" wrapText="1"/>
    </xf>
    <xf numFmtId="0" fontId="3" fillId="3" borderId="1" xfId="0" applyFont="1" applyFill="1" applyBorder="1" applyAlignment="1">
      <alignment horizontal="center" vertical="center" wrapText="1"/>
    </xf>
    <xf numFmtId="0" fontId="3" fillId="0" borderId="1" xfId="0" applyFont="1" applyBorder="1" applyAlignment="1">
      <alignment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3" fillId="0" borderId="6" xfId="0" applyFont="1" applyFill="1" applyBorder="1" applyAlignment="1">
      <alignment horizontal="justify" vertical="center" wrapText="1"/>
    </xf>
    <xf numFmtId="0" fontId="3" fillId="0" borderId="6" xfId="0" applyFont="1" applyBorder="1" applyAlignment="1">
      <alignment horizontal="justify" vertical="center" wrapText="1"/>
    </xf>
    <xf numFmtId="0" fontId="13" fillId="0" borderId="1" xfId="0" applyFont="1" applyBorder="1" applyAlignment="1">
      <alignment horizontal="justify"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xf>
    <xf numFmtId="0" fontId="15" fillId="4" borderId="2" xfId="0" applyFont="1" applyFill="1" applyBorder="1" applyAlignment="1">
      <alignment horizontal="center" vertical="center" wrapText="1"/>
    </xf>
    <xf numFmtId="0" fontId="15" fillId="4" borderId="3"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4" fillId="0" borderId="0" xfId="0" applyFont="1"/>
    <xf numFmtId="0" fontId="14" fillId="4" borderId="0" xfId="0" applyFont="1" applyFill="1"/>
    <xf numFmtId="0" fontId="14" fillId="0" borderId="1" xfId="0" applyFont="1" applyBorder="1" applyAlignment="1">
      <alignment vertical="center" wrapText="1"/>
    </xf>
    <xf numFmtId="0" fontId="14" fillId="0" borderId="1" xfId="0" applyFont="1" applyBorder="1" applyAlignment="1">
      <alignment horizontal="center" vertical="center" wrapText="1"/>
    </xf>
    <xf numFmtId="0" fontId="14" fillId="0" borderId="1" xfId="0" applyFont="1" applyBorder="1" applyAlignment="1">
      <alignment horizontal="justify" vertical="center" wrapText="1"/>
    </xf>
    <xf numFmtId="0" fontId="14" fillId="0" borderId="0" xfId="0" applyFont="1" applyAlignment="1">
      <alignment horizontal="center" vertical="center"/>
    </xf>
    <xf numFmtId="0" fontId="1"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4" fillId="0" borderId="1" xfId="0" applyFont="1" applyFill="1" applyBorder="1" applyAlignment="1">
      <alignment horizontal="center" vertical="center"/>
    </xf>
    <xf numFmtId="0" fontId="1" fillId="0" borderId="0" xfId="0" applyFont="1" applyAlignment="1">
      <alignment horizontal="center"/>
    </xf>
    <xf numFmtId="0" fontId="1" fillId="0" borderId="0" xfId="0" applyFont="1" applyAlignment="1">
      <alignment horizontal="left" vertical="center"/>
    </xf>
    <xf numFmtId="0" fontId="3" fillId="4" borderId="0" xfId="0" applyFont="1" applyFill="1"/>
    <xf numFmtId="0" fontId="3" fillId="0" borderId="1" xfId="0" applyFont="1" applyBorder="1" applyAlignment="1">
      <alignment wrapText="1"/>
    </xf>
    <xf numFmtId="0" fontId="3" fillId="0" borderId="0" xfId="0" applyFont="1" applyAlignment="1">
      <alignment horizontal="center"/>
    </xf>
    <xf numFmtId="0" fontId="3" fillId="5" borderId="1" xfId="0" applyFont="1" applyFill="1" applyBorder="1" applyAlignment="1">
      <alignment vertical="center" wrapText="1"/>
    </xf>
    <xf numFmtId="9" fontId="1" fillId="0" borderId="1" xfId="0" applyNumberFormat="1" applyFont="1" applyBorder="1" applyAlignment="1">
      <alignment horizontal="center" vertical="center" wrapText="1"/>
    </xf>
    <xf numFmtId="0" fontId="3" fillId="5" borderId="1" xfId="0" applyFont="1" applyFill="1" applyBorder="1" applyAlignment="1">
      <alignment horizontal="justify" vertical="center" wrapText="1"/>
    </xf>
    <xf numFmtId="9" fontId="1" fillId="0" borderId="1" xfId="0" applyNumberFormat="1" applyFont="1" applyBorder="1" applyAlignment="1">
      <alignment horizontal="center" vertical="center"/>
    </xf>
    <xf numFmtId="0" fontId="3" fillId="0" borderId="1" xfId="0" applyFont="1" applyFill="1" applyBorder="1" applyAlignment="1">
      <alignment horizontal="center" vertical="center"/>
    </xf>
    <xf numFmtId="0" fontId="3" fillId="3" borderId="1" xfId="0" applyFont="1" applyFill="1" applyBorder="1" applyAlignment="1">
      <alignment horizontal="justify" vertical="center" wrapText="1"/>
    </xf>
    <xf numFmtId="0" fontId="0" fillId="3" borderId="0" xfId="0" applyFill="1"/>
    <xf numFmtId="0" fontId="18" fillId="0" borderId="0" xfId="0" applyFont="1"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0" fontId="0" fillId="0" borderId="9" xfId="0" applyBorder="1" applyAlignment="1">
      <alignment horizontal="center"/>
    </xf>
    <xf numFmtId="0" fontId="0" fillId="3" borderId="10" xfId="0" applyFill="1" applyBorder="1"/>
    <xf numFmtId="0" fontId="0" fillId="0" borderId="10" xfId="0" applyBorder="1"/>
    <xf numFmtId="0" fontId="9" fillId="3" borderId="0" xfId="0" applyFont="1" applyFill="1"/>
    <xf numFmtId="0" fontId="0" fillId="0" borderId="1" xfId="0" applyBorder="1"/>
    <xf numFmtId="0" fontId="0" fillId="0" borderId="1" xfId="0" applyBorder="1" applyAlignment="1">
      <alignment horizontal="center"/>
    </xf>
    <xf numFmtId="0" fontId="19" fillId="3" borderId="0" xfId="0" applyFont="1" applyFill="1"/>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applyAlignment="1">
      <alignment horizontal="center"/>
    </xf>
    <xf numFmtId="0" fontId="0" fillId="0" borderId="0" xfId="0" pivotButton="1" applyAlignment="1">
      <alignment horizontal="center"/>
    </xf>
    <xf numFmtId="164" fontId="0" fillId="0" borderId="0" xfId="0" applyNumberFormat="1" applyAlignment="1">
      <alignment horizontal="center"/>
    </xf>
    <xf numFmtId="0" fontId="0" fillId="0" borderId="1" xfId="0" applyBorder="1" applyAlignment="1">
      <alignment horizontal="left"/>
    </xf>
    <xf numFmtId="0" fontId="0" fillId="0" borderId="1" xfId="0" applyNumberFormat="1" applyBorder="1" applyAlignment="1">
      <alignment horizontal="center"/>
    </xf>
    <xf numFmtId="0" fontId="0" fillId="0" borderId="0" xfId="0" applyAlignment="1">
      <alignment horizontal="left" indent="1"/>
    </xf>
    <xf numFmtId="0" fontId="0" fillId="0" borderId="8" xfId="0" applyBorder="1"/>
    <xf numFmtId="0" fontId="0" fillId="0" borderId="7" xfId="0" applyBorder="1" applyAlignment="1">
      <alignment horizontal="left" indent="2"/>
    </xf>
    <xf numFmtId="0" fontId="0" fillId="3" borderId="0" xfId="0" applyFill="1" applyBorder="1"/>
    <xf numFmtId="0" fontId="0" fillId="0" borderId="10" xfId="0" applyNumberFormat="1" applyBorder="1" applyAlignment="1">
      <alignment horizontal="center"/>
    </xf>
    <xf numFmtId="0" fontId="3" fillId="0" borderId="1" xfId="0" applyFont="1" applyBorder="1" applyAlignment="1">
      <alignment horizontal="center" wrapText="1"/>
    </xf>
    <xf numFmtId="0" fontId="3" fillId="0" borderId="1" xfId="0" applyFont="1" applyBorder="1"/>
    <xf numFmtId="0" fontId="3" fillId="0" borderId="1" xfId="0" applyFont="1" applyFill="1" applyBorder="1" applyAlignment="1">
      <alignment vertical="center" wrapText="1"/>
    </xf>
    <xf numFmtId="0" fontId="11" fillId="0" borderId="1" xfId="0" applyFont="1" applyFill="1" applyBorder="1" applyAlignment="1">
      <alignment vertical="center" wrapText="1"/>
    </xf>
    <xf numFmtId="0" fontId="11" fillId="0" borderId="1" xfId="0" applyFont="1" applyFill="1" applyBorder="1" applyAlignment="1">
      <alignment horizontal="center" vertical="center"/>
    </xf>
    <xf numFmtId="0" fontId="14" fillId="0" borderId="1" xfId="0" applyFont="1" applyBorder="1"/>
    <xf numFmtId="0" fontId="14" fillId="0" borderId="1" xfId="0" applyFont="1" applyBorder="1" applyAlignment="1">
      <alignment wrapText="1"/>
    </xf>
    <xf numFmtId="0" fontId="3" fillId="0" borderId="7" xfId="0" applyFont="1" applyFill="1" applyBorder="1" applyAlignment="1">
      <alignment horizontal="center" vertical="center" wrapText="1"/>
    </xf>
    <xf numFmtId="0" fontId="14" fillId="0" borderId="1" xfId="0" applyFont="1" applyFill="1" applyBorder="1"/>
    <xf numFmtId="0" fontId="14" fillId="0" borderId="1" xfId="0" applyFont="1" applyBorder="1" applyAlignment="1"/>
    <xf numFmtId="0" fontId="3" fillId="6" borderId="1" xfId="0" applyFont="1" applyFill="1" applyBorder="1" applyAlignment="1">
      <alignment horizontal="center" vertical="center" wrapText="1"/>
    </xf>
    <xf numFmtId="49" fontId="1"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xf>
  </cellXfs>
  <cellStyles count="2">
    <cellStyle name="Normal" xfId="0" builtinId="0"/>
    <cellStyle name="Normal 2" xfId="1" xr:uid="{2EEC6892-25A5-41E9-A3D8-20C4314CFC2A}"/>
  </cellStyles>
  <dxfs count="6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quot;S/&quot;#,##0.00"/>
    </dxf>
    <dxf>
      <numFmt numFmtId="164" formatCode="&quot;S/&quot;#,##0.00"/>
    </dxf>
    <dxf>
      <numFmt numFmtId="164" formatCode="&quot;S/&quot;#,##0.00"/>
    </dxf>
    <dxf>
      <numFmt numFmtId="164" formatCode="&quot;S/&quot;#,##0.00"/>
    </dxf>
    <dxf>
      <numFmt numFmtId="164" formatCode="&quot;S/&quot;#,##0.00"/>
    </dxf>
    <dxf>
      <numFmt numFmtId="164" formatCode="&quot;S/&quot;#,##0.00"/>
    </dxf>
    <dxf>
      <numFmt numFmtId="164" formatCode="&quot;S/&quot;#,##0.0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right style="thin">
          <color indexed="64"/>
        </right>
        <top style="thin">
          <color indexed="64"/>
        </top>
        <vertical style="thin">
          <color indexed="64"/>
        </vertical>
        <horizontal style="thin">
          <color indexed="64"/>
        </horizontal>
      </border>
    </dxf>
    <dxf>
      <alignment horizontal="center"/>
    </dxf>
    <dxf>
      <border>
        <left style="thin">
          <color indexed="64"/>
        </left>
        <top style="thin">
          <color indexed="64"/>
        </top>
        <bottom style="thin">
          <color indexed="64"/>
        </bottom>
        <vertical style="thin">
          <color indexed="64"/>
        </vertical>
        <horizontal style="thin">
          <color indexed="64"/>
        </horizontal>
      </border>
    </dxf>
    <dxf>
      <fill>
        <patternFill patternType="solid">
          <bgColor rgb="FFFF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outline="0">
        <left style="medium">
          <color indexed="64"/>
        </left>
      </border>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21" Type="http://schemas.openxmlformats.org/officeDocument/2006/relationships/externalLink" Target="externalLinks/externalLink14.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customXml" Target="../customXml/item1.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pivotCacheDefinition" Target="pivotCache/pivotCacheDefinition2.xml"/><Relationship Id="rId35" Type="http://schemas.openxmlformats.org/officeDocument/2006/relationships/calcChain" Target="calcChain.xml"/><Relationship Id="rId8" Type="http://schemas.openxmlformats.org/officeDocument/2006/relationships/externalLink" Target="externalLinks/externalLink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[Matriz SNC_TX_2021.xlsx]Resumen - Gráficas!TablaDinámica2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lumMod val="50000"/>
                      <a:lumOff val="50000"/>
                    </a:schemeClr>
                  </a:solidFill>
                  <a:latin typeface="+mn-lt"/>
                  <a:ea typeface="+mn-ea"/>
                  <a:cs typeface="+mn-cs"/>
                </a:defRPr>
              </a:pPr>
              <a:endParaRPr lang="es-P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col"/>
        <c:grouping val="clustered"/>
        <c:varyColors val="0"/>
        <c:ser>
          <c:idx val="0"/>
          <c:order val="0"/>
          <c:tx>
            <c:strRef>
              <c:f>'Resumen - Gráficas'!$K$4:$K$5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lumMod val="50000"/>
                        <a:lumOff val="50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'Resumen - Gráficas'!$I$6:$J$27</c:f>
              <c:multiLvlStrCache>
                <c:ptCount val="21"/>
                <c:lvl>
                  <c:pt idx="0">
                    <c:v>HUAWEI</c:v>
                  </c:pt>
                  <c:pt idx="1">
                    <c:v>CYGTEL</c:v>
                  </c:pt>
                  <c:pt idx="2">
                    <c:v>CYGTEL</c:v>
                  </c:pt>
                  <c:pt idx="3">
                    <c:v>HUAWEI</c:v>
                  </c:pt>
                  <c:pt idx="4">
                    <c:v>SEMI</c:v>
                  </c:pt>
                  <c:pt idx="5">
                    <c:v>CJ TELECOM</c:v>
                  </c:pt>
                  <c:pt idx="6">
                    <c:v>ICETEL</c:v>
                  </c:pt>
                  <c:pt idx="7">
                    <c:v>INCOBECH</c:v>
                  </c:pt>
                  <c:pt idx="8">
                    <c:v>AJ</c:v>
                  </c:pt>
                  <c:pt idx="9">
                    <c:v>MERIT</c:v>
                  </c:pt>
                  <c:pt idx="10">
                    <c:v>STP</c:v>
                  </c:pt>
                  <c:pt idx="11">
                    <c:v>TELRAD</c:v>
                  </c:pt>
                  <c:pt idx="12">
                    <c:v>RD TELECOM</c:v>
                  </c:pt>
                  <c:pt idx="13">
                    <c:v>CYGTEL</c:v>
                  </c:pt>
                  <c:pt idx="14">
                    <c:v>F1 SERVICES</c:v>
                  </c:pt>
                  <c:pt idx="15">
                    <c:v>SEMI</c:v>
                  </c:pt>
                  <c:pt idx="16">
                    <c:v>F1 SERVICES</c:v>
                  </c:pt>
                  <c:pt idx="17">
                    <c:v>SEMI</c:v>
                  </c:pt>
                  <c:pt idx="18">
                    <c:v>SEMI</c:v>
                  </c:pt>
                  <c:pt idx="19">
                    <c:v>HUAWEI</c:v>
                  </c:pt>
                  <c:pt idx="20">
                    <c:v>INCOBECH</c:v>
                  </c:pt>
                </c:lvl>
                <c:lvl>
                  <c:pt idx="0">
                    <c:v>Baja Altura</c:v>
                  </c:pt>
                  <c:pt idx="1">
                    <c:v>RAN SHARING</c:v>
                  </c:pt>
                  <c:pt idx="2">
                    <c:v>RANCO</c:v>
                  </c:pt>
                  <c:pt idx="13">
                    <c:v>Rollout</c:v>
                  </c:pt>
                  <c:pt idx="16">
                    <c:v>Cosite 700</c:v>
                  </c:pt>
                  <c:pt idx="18">
                    <c:v>REUBICACIONES</c:v>
                  </c:pt>
                  <c:pt idx="19">
                    <c:v>SWAP + NR</c:v>
                  </c:pt>
                  <c:pt idx="20">
                    <c:v>Regulatorio APT</c:v>
                  </c:pt>
                </c:lvl>
              </c:multiLvlStrCache>
            </c:multiLvlStrRef>
          </c:cat>
          <c:val>
            <c:numRef>
              <c:f>'Resumen - Gráficas'!$K$6:$K$27</c:f>
              <c:numCache>
                <c:formatCode>General</c:formatCode>
                <c:ptCount val="21"/>
                <c:pt idx="0">
                  <c:v>1</c:v>
                </c:pt>
                <c:pt idx="1">
                  <c:v>5</c:v>
                </c:pt>
                <c:pt idx="2">
                  <c:v>3</c:v>
                </c:pt>
                <c:pt idx="3">
                  <c:v>11</c:v>
                </c:pt>
                <c:pt idx="4">
                  <c:v>3</c:v>
                </c:pt>
                <c:pt idx="5">
                  <c:v>1</c:v>
                </c:pt>
                <c:pt idx="6">
                  <c:v>2</c:v>
                </c:pt>
                <c:pt idx="7">
                  <c:v>1</c:v>
                </c:pt>
                <c:pt idx="8">
                  <c:v>8</c:v>
                </c:pt>
                <c:pt idx="9">
                  <c:v>2</c:v>
                </c:pt>
                <c:pt idx="10">
                  <c:v>1</c:v>
                </c:pt>
                <c:pt idx="11">
                  <c:v>1</c:v>
                </c:pt>
                <c:pt idx="12">
                  <c:v>2</c:v>
                </c:pt>
                <c:pt idx="13">
                  <c:v>1</c:v>
                </c:pt>
                <c:pt idx="14">
                  <c:v>1</c:v>
                </c:pt>
                <c:pt idx="15">
                  <c:v>1</c:v>
                </c:pt>
                <c:pt idx="16">
                  <c:v>1</c:v>
                </c:pt>
                <c:pt idx="17">
                  <c:v>1</c:v>
                </c:pt>
                <c:pt idx="18">
                  <c:v>1</c:v>
                </c:pt>
                <c:pt idx="19">
                  <c:v>15</c:v>
                </c:pt>
                <c:pt idx="20">
                  <c:v>1</c:v>
                </c:pt>
              </c:numCache>
            </c:numRef>
          </c:val>
          <c:extLst>
            <c:ext xmlns:c16="http://schemas.microsoft.com/office/drawing/2014/chart" uri="{C3380CC4-5D6E-409C-BE32-E72D297353CC}">
              <c16:uniqueId val="{00000000-57A8-499C-B4E5-A8F6F78ED074}"/>
            </c:ext>
          </c:extLst>
        </c:ser>
        <c:dLbls>
          <c:dLblPos val="outEnd"/>
          <c:showLegendKey val="0"/>
          <c:showVal val="1"/>
          <c:showCatName val="0"/>
          <c:showSerName val="0"/>
          <c:showPercent val="0"/>
          <c:showBubbleSize val="0"/>
        </c:dLbls>
        <c:gapWidth val="444"/>
        <c:axId val="445977407"/>
        <c:axId val="442410975"/>
      </c:barChart>
      <c:catAx>
        <c:axId val="445977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520000" spcFirstLastPara="1" vertOverflow="ellipsis" wrap="square" anchor="ctr" anchorCtr="1"/>
          <a:lstStyle/>
          <a:p>
            <a:pPr>
              <a:defRPr sz="700" b="0" i="0" u="none" strike="noStrike" kern="1200" cap="all" spc="120" normalizeH="0" baseline="0">
                <a:solidFill>
                  <a:schemeClr val="tx1">
                    <a:lumMod val="65000"/>
                    <a:lumOff val="35000"/>
                  </a:schemeClr>
                </a:solidFill>
                <a:latin typeface="Arial Narrow" panose="020B0606020202030204" pitchFamily="34" charset="0"/>
                <a:ea typeface="+mn-ea"/>
                <a:cs typeface="+mn-cs"/>
              </a:defRPr>
            </a:pPr>
            <a:endParaRPr lang="es-PE"/>
          </a:p>
        </c:txPr>
        <c:crossAx val="442410975"/>
        <c:crosses val="autoZero"/>
        <c:auto val="1"/>
        <c:lblAlgn val="ctr"/>
        <c:lblOffset val="100"/>
        <c:noMultiLvlLbl val="0"/>
      </c:catAx>
      <c:valAx>
        <c:axId val="442410975"/>
        <c:scaling>
          <c:orientation val="minMax"/>
        </c:scaling>
        <c:delete val="1"/>
        <c:axPos val="l"/>
        <c:numFmt formatCode="General" sourceLinked="1"/>
        <c:majorTickMark val="none"/>
        <c:minorTickMark val="none"/>
        <c:tickLblPos val="nextTo"/>
        <c:crossAx val="445977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[Matriz SNC_TX_2021.xlsx]Resumen - Gráficas!TablaDinámica1</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'Resumen - Gráficas'!$C$4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3F-40A0-812C-83D90134CB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3F-40A0-812C-83D90134CB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3F-40A0-812C-83D90134CB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93F-40A0-812C-83D90134CB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9E-4967-839B-6FD7DA9753C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9EE-4463-8361-3767E10313B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855-4A0D-967D-BDA0EA95463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6A6-4C83-8BCC-AEECC6169B6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6A6-4C83-8BCC-AEECC6169B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'Resumen - Gráficas'!$B$5:$B$13</c:f>
              <c:strCache>
                <c:ptCount val="8"/>
                <c:pt idx="0">
                  <c:v>Baja Altura</c:v>
                </c:pt>
                <c:pt idx="1">
                  <c:v>RAN SHARING</c:v>
                </c:pt>
                <c:pt idx="2">
                  <c:v>RANCO</c:v>
                </c:pt>
                <c:pt idx="3">
                  <c:v>Rollout</c:v>
                </c:pt>
                <c:pt idx="4">
                  <c:v>Cosite 700</c:v>
                </c:pt>
                <c:pt idx="5">
                  <c:v>REUBICACIONES</c:v>
                </c:pt>
                <c:pt idx="6">
                  <c:v>SWAP + NR</c:v>
                </c:pt>
                <c:pt idx="7">
                  <c:v>Regulatorio APT</c:v>
                </c:pt>
              </c:strCache>
            </c:strRef>
          </c:cat>
          <c:val>
            <c:numRef>
              <c:f>'Resumen - Gráficas'!$C$5:$C$13</c:f>
              <c:numCache>
                <c:formatCode>General</c:formatCode>
                <c:ptCount val="8"/>
                <c:pt idx="0">
                  <c:v>1</c:v>
                </c:pt>
                <c:pt idx="1">
                  <c:v>5</c:v>
                </c:pt>
                <c:pt idx="2">
                  <c:v>35</c:v>
                </c:pt>
                <c:pt idx="3">
                  <c:v>3</c:v>
                </c:pt>
                <c:pt idx="4">
                  <c:v>2</c:v>
                </c:pt>
                <c:pt idx="5">
                  <c:v>1</c:v>
                </c:pt>
                <c:pt idx="6">
                  <c:v>15</c:v>
                </c:pt>
                <c:pt idx="7">
                  <c:v>1</c:v>
                </c:pt>
              </c:numCache>
            </c:numRef>
          </c:val>
          <c:extLst>
            <c:ext xmlns:c16="http://schemas.microsoft.com/office/drawing/2014/chart" uri="{C3380CC4-5D6E-409C-BE32-E72D297353CC}">
              <c16:uniqueId val="{00000000-3C07-45BB-AB3C-144AB0F2B43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[Matriz SNC_TX_2021.xlsx]Resumen - Gráficas!TablaDinámica4</c:name>
    <c:fmtId val="18"/>
  </c:pivotSource>
  <c:chart>
    <c:autoTitleDeleted val="1"/>
    <c:pivotFmts>
      <c:pivotFmt>
        <c:idx val="0"/>
        <c:spPr>
          <a:solidFill>
            <a:schemeClr val="accent1"/>
          </a:solidFill>
          <a:ln>
            <a:noFill/>
          </a:ln>
          <a:effectLst/>
        </c:spPr>
        <c:marker>
          <c:symbol val="none"/>
        </c:marker>
        <c:dLbl>
          <c:idx val="0"/>
          <c:numFmt formatCode="&quot;S/&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barChart>
        <c:barDir val="col"/>
        <c:grouping val="clustered"/>
        <c:varyColors val="0"/>
        <c:ser>
          <c:idx val="0"/>
          <c:order val="0"/>
          <c:tx>
            <c:strRef>
              <c:f>'Resumen - Gráficas'!$Y$4:$Y$5</c:f>
              <c:strCache>
                <c:ptCount val="1"/>
                <c:pt idx="0">
                  <c:v>Total</c:v>
                </c:pt>
              </c:strCache>
            </c:strRef>
          </c:tx>
          <c:spPr>
            <a:solidFill>
              <a:schemeClr val="accent1"/>
            </a:solidFill>
            <a:ln>
              <a:noFill/>
            </a:ln>
            <a:effectLst/>
          </c:spPr>
          <c:invertIfNegative val="0"/>
          <c:dLbls>
            <c:numFmt formatCode="&quot;S/&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 Gráficas'!$X$6:$X$18</c:f>
              <c:strCache>
                <c:ptCount val="12"/>
                <c:pt idx="0">
                  <c:v>CYGTEL</c:v>
                </c:pt>
                <c:pt idx="1">
                  <c:v>F1 SERVICES</c:v>
                </c:pt>
                <c:pt idx="2">
                  <c:v>HUAWEI</c:v>
                </c:pt>
                <c:pt idx="3">
                  <c:v>SEMI</c:v>
                </c:pt>
                <c:pt idx="4">
                  <c:v>CJ TELECOM</c:v>
                </c:pt>
                <c:pt idx="5">
                  <c:v>ICETEL</c:v>
                </c:pt>
                <c:pt idx="6">
                  <c:v>INCOBECH</c:v>
                </c:pt>
                <c:pt idx="7">
                  <c:v>AJ</c:v>
                </c:pt>
                <c:pt idx="8">
                  <c:v>MERIT</c:v>
                </c:pt>
                <c:pt idx="9">
                  <c:v>STP</c:v>
                </c:pt>
                <c:pt idx="10">
                  <c:v>TELRAD</c:v>
                </c:pt>
                <c:pt idx="11">
                  <c:v>RD TELECOM</c:v>
                </c:pt>
              </c:strCache>
            </c:strRef>
          </c:cat>
          <c:val>
            <c:numRef>
              <c:f>'Resumen - Gráficas'!$Y$6:$Y$18</c:f>
              <c:numCache>
                <c:formatCode>General</c:formatCode>
                <c:ptCount val="12"/>
                <c:pt idx="0">
                  <c:v>129.68299999999999</c:v>
                </c:pt>
                <c:pt idx="1">
                  <c:v>1265</c:v>
                </c:pt>
                <c:pt idx="2">
                  <c:v>344.15245000000004</c:v>
                </c:pt>
                <c:pt idx="3">
                  <c:v>289.83250161600006</c:v>
                </c:pt>
                <c:pt idx="4">
                  <c:v>229.17142500000003</c:v>
                </c:pt>
                <c:pt idx="5">
                  <c:v>172.17779999999999</c:v>
                </c:pt>
                <c:pt idx="6">
                  <c:v>2564.8700000000003</c:v>
                </c:pt>
                <c:pt idx="7">
                  <c:v>427.57487000000003</c:v>
                </c:pt>
                <c:pt idx="9">
                  <c:v>405.92125000000004</c:v>
                </c:pt>
                <c:pt idx="10">
                  <c:v>330.00745000000001</c:v>
                </c:pt>
                <c:pt idx="11">
                  <c:v>475.22008000000005</c:v>
                </c:pt>
              </c:numCache>
            </c:numRef>
          </c:val>
          <c:extLst>
            <c:ext xmlns:c16="http://schemas.microsoft.com/office/drawing/2014/chart" uri="{C3380CC4-5D6E-409C-BE32-E72D297353CC}">
              <c16:uniqueId val="{00000000-2812-484E-8CD0-40DC2EC7C0B8}"/>
            </c:ext>
          </c:extLst>
        </c:ser>
        <c:dLbls>
          <c:showLegendKey val="0"/>
          <c:showVal val="0"/>
          <c:showCatName val="0"/>
          <c:showSerName val="0"/>
          <c:showPercent val="0"/>
          <c:showBubbleSize val="0"/>
        </c:dLbls>
        <c:gapWidth val="219"/>
        <c:overlap val="-27"/>
        <c:axId val="486822367"/>
        <c:axId val="669479583"/>
      </c:barChart>
      <c:catAx>
        <c:axId val="48682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669479583"/>
        <c:crosses val="autoZero"/>
        <c:auto val="1"/>
        <c:lblAlgn val="ctr"/>
        <c:lblOffset val="100"/>
        <c:noMultiLvlLbl val="0"/>
      </c:catAx>
      <c:valAx>
        <c:axId val="66947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486822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[Matriz SNC_TX_2021.xlsx]Resumen - Gráficas!TablaDinámica6</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'Resumen - Gráficas'!$AD$4:$AD$5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57-4893-B600-A30C0F62F9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57-4893-B600-A30C0F62F9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57-4893-B600-A30C0F62F9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57-4893-B600-A30C0F62F9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11-4CC5-B3B2-89228E8BE3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111-4CC5-B3B2-89228E8BE32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F81-4EEC-BD7F-6C5FDC69ED5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F81-4EEC-BD7F-6C5FDC69ED5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A53-4AE3-A11B-CB395720B2D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C51-4358-8A92-1FD0C232647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C51-4358-8A92-1FD0C232647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C51-4358-8A92-1FD0C2326475}"/>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'Resumen - Gráficas'!$AC$6:$AC$18</c:f>
              <c:strCache>
                <c:ptCount val="12"/>
                <c:pt idx="0">
                  <c:v>CYGTEL</c:v>
                </c:pt>
                <c:pt idx="1">
                  <c:v>F1 SERVICES</c:v>
                </c:pt>
                <c:pt idx="2">
                  <c:v>HUAWEI</c:v>
                </c:pt>
                <c:pt idx="3">
                  <c:v>SEMI</c:v>
                </c:pt>
                <c:pt idx="4">
                  <c:v>CJ TELECOM</c:v>
                </c:pt>
                <c:pt idx="5">
                  <c:v>ICETEL</c:v>
                </c:pt>
                <c:pt idx="6">
                  <c:v>INCOBECH</c:v>
                </c:pt>
                <c:pt idx="7">
                  <c:v>AJ</c:v>
                </c:pt>
                <c:pt idx="8">
                  <c:v>MERIT</c:v>
                </c:pt>
                <c:pt idx="9">
                  <c:v>STP</c:v>
                </c:pt>
                <c:pt idx="10">
                  <c:v>TELRAD</c:v>
                </c:pt>
                <c:pt idx="11">
                  <c:v>RD TELECOM</c:v>
                </c:pt>
              </c:strCache>
            </c:strRef>
          </c:cat>
          <c:val>
            <c:numRef>
              <c:f>'Resumen - Gráficas'!$AD$6:$AD$18</c:f>
              <c:numCache>
                <c:formatCode>General</c:formatCode>
                <c:ptCount val="12"/>
                <c:pt idx="0">
                  <c:v>9</c:v>
                </c:pt>
                <c:pt idx="1">
                  <c:v>2</c:v>
                </c:pt>
                <c:pt idx="2">
                  <c:v>27</c:v>
                </c:pt>
                <c:pt idx="3">
                  <c:v>6</c:v>
                </c:pt>
                <c:pt idx="4">
                  <c:v>1</c:v>
                </c:pt>
                <c:pt idx="5">
                  <c:v>2</c:v>
                </c:pt>
                <c:pt idx="6">
                  <c:v>2</c:v>
                </c:pt>
                <c:pt idx="7">
                  <c:v>8</c:v>
                </c:pt>
                <c:pt idx="8">
                  <c:v>2</c:v>
                </c:pt>
                <c:pt idx="9">
                  <c:v>1</c:v>
                </c:pt>
                <c:pt idx="10">
                  <c:v>1</c:v>
                </c:pt>
                <c:pt idx="11">
                  <c:v>2</c:v>
                </c:pt>
              </c:numCache>
            </c:numRef>
          </c:val>
          <c:extLst>
            <c:ext xmlns:c16="http://schemas.microsoft.com/office/drawing/2014/chart" uri="{C3380CC4-5D6E-409C-BE32-E72D297353CC}">
              <c16:uniqueId val="{00000000-7CD2-4613-8E47-8D417F7299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'Resumen - Gráficas'!$AK$5</c:f>
              <c:strCache>
                <c:ptCount val="1"/>
                <c:pt idx="0">
                  <c:v>SNC x Mes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 Gráficas'!$AL$4:$AW$4</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'Resumen - Gráficas'!$AL$5:$AW$5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4EF4-4A3D-8A91-1241B9A07756}"/>
            </c:ext>
          </c:extLst>
        </c:ser>
        <c:dLbls>
          <c:showLegendKey val="0"/>
          <c:showVal val="0"/>
          <c:showCatName val="0"/>
          <c:showSerName val="0"/>
          <c:showPercent val="0"/>
          <c:showBubbleSize val="0"/>
        </c:dLbls>
        <c:gapWidth val="219"/>
        <c:axId val="494835551"/>
        <c:axId val="201359999"/>
      </c:barChart>
      <c:lineChart>
        <c:grouping val="standard"/>
        <c:varyColors val="0"/>
        <c:ser>
          <c:idx val="1"/>
          <c:order val="1"/>
          <c:tx>
            <c:strRef>
              <c:f>'Resumen - Gráficas'!$AK$6</c:f>
              <c:strCache>
                <c:ptCount val="1"/>
                <c:pt idx="0">
                  <c:v>SNC Acc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 Gráficas'!$AL$4:$AW$4</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'Resumen - Gráficas'!$AL$6:$AU$6</c:f>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1-4EF4-4A3D-8A91-1241B9A07756}"/>
            </c:ext>
          </c:extLst>
        </c:ser>
        <c:dLbls>
          <c:showLegendKey val="0"/>
          <c:showVal val="0"/>
          <c:showCatName val="0"/>
          <c:showSerName val="0"/>
          <c:showPercent val="0"/>
          <c:showBubbleSize val="0"/>
        </c:dLbls>
        <c:marker val="1"/>
        <c:smooth val="0"/>
        <c:axId val="494835551"/>
        <c:axId val="201359999"/>
      </c:lineChart>
      <c:catAx>
        <c:axId val="49483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01359999"/>
        <c:crosses val="autoZero"/>
        <c:auto val="1"/>
        <c:lblAlgn val="ctr"/>
        <c:lblOffset val="100"/>
        <c:noMultiLvlLbl val="0"/>
      </c:catAx>
      <c:valAx>
        <c:axId val="201359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494835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[Matriz SNC_TX_2021.xlsx]Resumen - Gráficas!TablaDinámica10</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4102621138051675"/>
          <c:y val="0.21872946662362963"/>
          <c:w val="0.40664291799302132"/>
          <c:h val="0.63216810708546189"/>
        </c:manualLayout>
      </c:layout>
      <c:pieChart>
        <c:varyColors val="1"/>
        <c:ser>
          <c:idx val="0"/>
          <c:order val="0"/>
          <c:tx>
            <c:strRef>
              <c:f>'Resumen - Gráficas'!$BE$4</c:f>
              <c:strCache>
                <c:ptCount val="1"/>
                <c:pt idx="0">
                  <c:v>SNC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03-4674-B566-69593BFDF2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03-4674-B566-69593BFDF2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03-4674-B566-69593BFDF2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FF-4EFB-8F69-8968FB001291}"/>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'Resumen - Gráficas'!$BD$5:$BD$9</c:f>
              <c:strCache>
                <c:ptCount val="4"/>
                <c:pt idx="0">
                  <c:v>Muy Grave</c:v>
                </c:pt>
                <c:pt idx="1">
                  <c:v>Grave</c:v>
                </c:pt>
                <c:pt idx="2">
                  <c:v>Incumplimiento Mayor</c:v>
                </c:pt>
                <c:pt idx="3">
                  <c:v>Moderada</c:v>
                </c:pt>
              </c:strCache>
            </c:strRef>
          </c:cat>
          <c:val>
            <c:numRef>
              <c:f>'Resumen - Gráficas'!$BE$5:$BE$9</c:f>
              <c:numCache>
                <c:formatCode>General</c:formatCode>
                <c:ptCount val="4"/>
                <c:pt idx="0">
                  <c:v>35</c:v>
                </c:pt>
                <c:pt idx="1">
                  <c:v>16</c:v>
                </c:pt>
                <c:pt idx="2">
                  <c:v>9</c:v>
                </c:pt>
                <c:pt idx="3">
                  <c:v>3</c:v>
                </c:pt>
              </c:numCache>
            </c:numRef>
          </c:val>
          <c:extLst>
            <c:ext xmlns:c16="http://schemas.microsoft.com/office/drawing/2014/chart" uri="{C3380CC4-5D6E-409C-BE32-E72D297353CC}">
              <c16:uniqueId val="{00000000-198B-4569-B3FB-36C4C87FF493}"/>
            </c:ext>
          </c:extLst>
        </c:ser>
        <c:ser>
          <c:idx val="1"/>
          <c:order val="1"/>
          <c:tx>
            <c:strRef>
              <c:f>'Resumen - Gráficas'!$BF$4</c:f>
              <c:strCache>
                <c:ptCount val="1"/>
                <c:pt idx="0">
                  <c:v>Sites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B803-4674-B566-69593BFDF2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B803-4674-B566-69593BFDF2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B803-4674-B566-69593BFDF2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4FFF-4EFB-8F69-8968FB001291}"/>
              </c:ext>
            </c:extLst>
          </c:dPt>
          <c:cat>
            <c:strRef>
              <c:f>'Resumen - Gráficas'!$BD$5:$BD$9</c:f>
              <c:strCache>
                <c:ptCount val="4"/>
                <c:pt idx="0">
                  <c:v>Muy Grave</c:v>
                </c:pt>
                <c:pt idx="1">
                  <c:v>Grave</c:v>
                </c:pt>
                <c:pt idx="2">
                  <c:v>Incumplimiento Mayor</c:v>
                </c:pt>
                <c:pt idx="3">
                  <c:v>Moderada</c:v>
                </c:pt>
              </c:strCache>
            </c:strRef>
          </c:cat>
          <c:val>
            <c:numRef>
              <c:f>'Resumen - Gráficas'!$BF$5:$BF$9</c:f>
              <c:numCache>
                <c:formatCode>General</c:formatCode>
                <c:ptCount val="4"/>
                <c:pt idx="0">
                  <c:v>35</c:v>
                </c:pt>
                <c:pt idx="1">
                  <c:v>16</c:v>
                </c:pt>
                <c:pt idx="2">
                  <c:v>9</c:v>
                </c:pt>
                <c:pt idx="3">
                  <c:v>3</c:v>
                </c:pt>
              </c:numCache>
            </c:numRef>
          </c:val>
          <c:extLst>
            <c:ext xmlns:c16="http://schemas.microsoft.com/office/drawing/2014/chart" uri="{C3380CC4-5D6E-409C-BE32-E72D297353CC}">
              <c16:uniqueId val="{00000001-198B-4569-B3FB-36C4C87FF4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[Matriz SNC_TX_2021.xlsx]Resumen - Gráficas!TablaDinámica11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'Resumen - Gráficas'!$BL$4:$BL$5</c:f>
              <c:strCache>
                <c:ptCount val="1"/>
                <c:pt idx="0">
                  <c:v>Muy Grave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 Gráficas'!$BK$6:$BK$18</c:f>
              <c:strCache>
                <c:ptCount val="12"/>
                <c:pt idx="0">
                  <c:v>CYGTEL</c:v>
                </c:pt>
                <c:pt idx="1">
                  <c:v>F1 SERVICES</c:v>
                </c:pt>
                <c:pt idx="2">
                  <c:v>HUAWEI</c:v>
                </c:pt>
                <c:pt idx="3">
                  <c:v>SEMI</c:v>
                </c:pt>
                <c:pt idx="4">
                  <c:v>CJ TELECOM</c:v>
                </c:pt>
                <c:pt idx="5">
                  <c:v>ICETEL</c:v>
                </c:pt>
                <c:pt idx="6">
                  <c:v>INCOBECH</c:v>
                </c:pt>
                <c:pt idx="7">
                  <c:v>AJ</c:v>
                </c:pt>
                <c:pt idx="8">
                  <c:v>MERIT</c:v>
                </c:pt>
                <c:pt idx="9">
                  <c:v>STP</c:v>
                </c:pt>
                <c:pt idx="10">
                  <c:v>TELRAD</c:v>
                </c:pt>
                <c:pt idx="11">
                  <c:v>RD TELECOM</c:v>
                </c:pt>
              </c:strCache>
            </c:strRef>
          </c:cat>
          <c:val>
            <c:numRef>
              <c:f>'Resumen - Gráficas'!$BL$6:$BL$18</c:f>
              <c:numCache>
                <c:formatCode>General</c:formatCode>
                <c:ptCount val="12"/>
                <c:pt idx="0">
                  <c:v>3</c:v>
                </c:pt>
                <c:pt idx="2">
                  <c:v>19</c:v>
                </c:pt>
                <c:pt idx="3">
                  <c:v>3</c:v>
                </c:pt>
                <c:pt idx="4">
                  <c:v>1</c:v>
                </c:pt>
                <c:pt idx="5">
                  <c:v>1</c:v>
                </c:pt>
                <c:pt idx="6">
                  <c:v>1</c:v>
                </c:pt>
                <c:pt idx="7">
                  <c:v>3</c:v>
                </c:pt>
                <c:pt idx="9">
                  <c:v>1</c:v>
                </c:pt>
                <c:pt idx="10">
                  <c:v>1</c:v>
                </c:pt>
                <c:pt idx="11">
                  <c:v>2</c:v>
                </c:pt>
              </c:numCache>
            </c:numRef>
          </c:val>
          <c:extLst>
            <c:ext xmlns:c16="http://schemas.microsoft.com/office/drawing/2014/chart" uri="{C3380CC4-5D6E-409C-BE32-E72D297353CC}">
              <c16:uniqueId val="{00000000-F105-40D9-AB00-0F16FB787916}"/>
            </c:ext>
          </c:extLst>
        </c:ser>
        <c:ser>
          <c:idx val="1"/>
          <c:order val="1"/>
          <c:tx>
            <c:strRef>
              <c:f>'Resumen - Gráficas'!$BM$4:$BM$5</c:f>
              <c:strCache>
                <c:ptCount val="1"/>
                <c:pt idx="0">
                  <c:v>Grave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 Gráficas'!$BK$6:$BK$18</c:f>
              <c:strCache>
                <c:ptCount val="12"/>
                <c:pt idx="0">
                  <c:v>CYGTEL</c:v>
                </c:pt>
                <c:pt idx="1">
                  <c:v>F1 SERVICES</c:v>
                </c:pt>
                <c:pt idx="2">
                  <c:v>HUAWEI</c:v>
                </c:pt>
                <c:pt idx="3">
                  <c:v>SEMI</c:v>
                </c:pt>
                <c:pt idx="4">
                  <c:v>CJ TELECOM</c:v>
                </c:pt>
                <c:pt idx="5">
                  <c:v>ICETEL</c:v>
                </c:pt>
                <c:pt idx="6">
                  <c:v>INCOBECH</c:v>
                </c:pt>
                <c:pt idx="7">
                  <c:v>AJ</c:v>
                </c:pt>
                <c:pt idx="8">
                  <c:v>MERIT</c:v>
                </c:pt>
                <c:pt idx="9">
                  <c:v>STP</c:v>
                </c:pt>
                <c:pt idx="10">
                  <c:v>TELRAD</c:v>
                </c:pt>
                <c:pt idx="11">
                  <c:v>RD TELECOM</c:v>
                </c:pt>
              </c:strCache>
            </c:strRef>
          </c:cat>
          <c:val>
            <c:numRef>
              <c:f>'Resumen - Gráficas'!$BM$6:$BM$18</c:f>
              <c:numCache>
                <c:formatCode>General</c:formatCode>
                <c:ptCount val="12"/>
                <c:pt idx="0">
                  <c:v>4</c:v>
                </c:pt>
                <c:pt idx="1">
                  <c:v>2</c:v>
                </c:pt>
                <c:pt idx="2">
                  <c:v>3</c:v>
                </c:pt>
                <c:pt idx="3">
                  <c:v>2</c:v>
                </c:pt>
                <c:pt idx="5">
                  <c:v>1</c:v>
                </c:pt>
                <c:pt idx="6">
                  <c:v>1</c:v>
                </c:pt>
                <c:pt idx="7">
                  <c:v>2</c:v>
                </c:pt>
                <c:pt idx="8">
                  <c:v>1</c:v>
                </c:pt>
              </c:numCache>
            </c:numRef>
          </c:val>
          <c:extLst>
            <c:ext xmlns:c16="http://schemas.microsoft.com/office/drawing/2014/chart" uri="{C3380CC4-5D6E-409C-BE32-E72D297353CC}">
              <c16:uniqueId val="{00000001-F105-40D9-AB00-0F16FB787916}"/>
            </c:ext>
          </c:extLst>
        </c:ser>
        <c:ser>
          <c:idx val="2"/>
          <c:order val="2"/>
          <c:tx>
            <c:strRef>
              <c:f>'Resumen - Gráficas'!$BN$4:$BN$5</c:f>
              <c:strCache>
                <c:ptCount val="1"/>
                <c:pt idx="0">
                  <c:v>Incumplimiento Mayor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 Gráficas'!$BK$6:$BK$18</c:f>
              <c:strCache>
                <c:ptCount val="12"/>
                <c:pt idx="0">
                  <c:v>CYGTEL</c:v>
                </c:pt>
                <c:pt idx="1">
                  <c:v>F1 SERVICES</c:v>
                </c:pt>
                <c:pt idx="2">
                  <c:v>HUAWEI</c:v>
                </c:pt>
                <c:pt idx="3">
                  <c:v>SEMI</c:v>
                </c:pt>
                <c:pt idx="4">
                  <c:v>CJ TELECOM</c:v>
                </c:pt>
                <c:pt idx="5">
                  <c:v>ICETEL</c:v>
                </c:pt>
                <c:pt idx="6">
                  <c:v>INCOBECH</c:v>
                </c:pt>
                <c:pt idx="7">
                  <c:v>AJ</c:v>
                </c:pt>
                <c:pt idx="8">
                  <c:v>MERIT</c:v>
                </c:pt>
                <c:pt idx="9">
                  <c:v>STP</c:v>
                </c:pt>
                <c:pt idx="10">
                  <c:v>TELRAD</c:v>
                </c:pt>
                <c:pt idx="11">
                  <c:v>RD TELECOM</c:v>
                </c:pt>
              </c:strCache>
            </c:strRef>
          </c:cat>
          <c:val>
            <c:numRef>
              <c:f>'Resumen - Gráficas'!$BN$6:$BN$18</c:f>
              <c:numCache>
                <c:formatCode>General</c:formatCode>
                <c:ptCount val="12"/>
                <c:pt idx="0">
                  <c:v>2</c:v>
                </c:pt>
                <c:pt idx="2">
                  <c:v>4</c:v>
                </c:pt>
                <c:pt idx="7">
                  <c:v>3</c:v>
                </c:pt>
              </c:numCache>
            </c:numRef>
          </c:val>
          <c:extLst>
            <c:ext xmlns:c16="http://schemas.microsoft.com/office/drawing/2014/chart" uri="{C3380CC4-5D6E-409C-BE32-E72D297353CC}">
              <c16:uniqueId val="{00000000-58EE-4505-864C-A92B5FEE055E}"/>
            </c:ext>
          </c:extLst>
        </c:ser>
        <c:ser>
          <c:idx val="3"/>
          <c:order val="3"/>
          <c:tx>
            <c:strRef>
              <c:f>'Resumen - Gráficas'!$BO$4:$BO$5</c:f>
              <c:strCache>
                <c:ptCount val="1"/>
                <c:pt idx="0">
                  <c:v>Moderada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 Gráficas'!$BK$6:$BK$18</c:f>
              <c:strCache>
                <c:ptCount val="12"/>
                <c:pt idx="0">
                  <c:v>CYGTEL</c:v>
                </c:pt>
                <c:pt idx="1">
                  <c:v>F1 SERVICES</c:v>
                </c:pt>
                <c:pt idx="2">
                  <c:v>HUAWEI</c:v>
                </c:pt>
                <c:pt idx="3">
                  <c:v>SEMI</c:v>
                </c:pt>
                <c:pt idx="4">
                  <c:v>CJ TELECOM</c:v>
                </c:pt>
                <c:pt idx="5">
                  <c:v>ICETEL</c:v>
                </c:pt>
                <c:pt idx="6">
                  <c:v>INCOBECH</c:v>
                </c:pt>
                <c:pt idx="7">
                  <c:v>AJ</c:v>
                </c:pt>
                <c:pt idx="8">
                  <c:v>MERIT</c:v>
                </c:pt>
                <c:pt idx="9">
                  <c:v>STP</c:v>
                </c:pt>
                <c:pt idx="10">
                  <c:v>TELRAD</c:v>
                </c:pt>
                <c:pt idx="11">
                  <c:v>RD TELECOM</c:v>
                </c:pt>
              </c:strCache>
            </c:strRef>
          </c:cat>
          <c:val>
            <c:numRef>
              <c:f>'Resumen - Gráficas'!$BO$6:$BO$18</c:f>
              <c:numCache>
                <c:formatCode>General</c:formatCode>
                <c:ptCount val="12"/>
                <c:pt idx="2">
                  <c:v>1</c:v>
                </c:pt>
                <c:pt idx="3">
                  <c:v>1</c:v>
                </c:pt>
                <c:pt idx="8">
                  <c:v>1</c:v>
                </c:pt>
              </c:numCache>
            </c:numRef>
          </c:val>
          <c:extLst>
            <c:ext xmlns:c16="http://schemas.microsoft.com/office/drawing/2014/chart" uri="{C3380CC4-5D6E-409C-BE32-E72D297353CC}">
              <c16:uniqueId val="{00000001-58EE-4505-864C-A92B5FEE055E}"/>
            </c:ext>
          </c:extLst>
        </c:ser>
        <c:dLbls>
          <c:showLegendKey val="0"/>
          <c:showVal val="0"/>
          <c:showCatName val="0"/>
          <c:showSerName val="0"/>
          <c:showPercent val="0"/>
          <c:showBubbleSize val="0"/>
        </c:dLbls>
        <c:gapWidth val="219"/>
        <c:overlap val="-27"/>
        <c:axId val="504045935"/>
        <c:axId val="1972431935"/>
      </c:barChart>
      <c:catAx>
        <c:axId val="50404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72431935"/>
        <c:crosses val="autoZero"/>
        <c:auto val="1"/>
        <c:lblAlgn val="ctr"/>
        <c:lblOffset val="100"/>
        <c:noMultiLvlLbl val="0"/>
      </c:catAx>
      <c:valAx>
        <c:axId val="197243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50404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[Matriz SNC_TX_2021.xlsx]Resumen - Gráficas!TablaDinámica5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'Resumen - Gráficas'!$BV$4:$BV$5</c:f>
              <c:strCache>
                <c:ptCount val="1"/>
                <c:pt idx="0">
                  <c:v>CYGTEL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 Gráficas'!$BU$6:$BU$14</c:f>
              <c:strCache>
                <c:ptCount val="8"/>
                <c:pt idx="0">
                  <c:v>Ene</c:v>
                </c:pt>
                <c:pt idx="1">
                  <c:v>Feb</c:v>
                </c:pt>
                <c:pt idx="2">
                  <c:v>Mar</c:v>
                </c:pt>
                <c:pt idx="3">
                  <c:v>Abr</c:v>
                </c:pt>
                <c:pt idx="4">
                  <c:v>Jun</c:v>
                </c:pt>
                <c:pt idx="5">
                  <c:v>Jul</c:v>
                </c:pt>
                <c:pt idx="6">
                  <c:v>Set</c:v>
                </c:pt>
                <c:pt idx="7">
                  <c:v>Oct</c:v>
                </c:pt>
              </c:strCache>
            </c:strRef>
          </c:cat>
          <c:val>
            <c:numRef>
              <c:f>'Resumen - Gráficas'!$BV$6:$BV$14</c:f>
              <c:numCache>
                <c:formatCode>General</c:formatCode>
                <c:ptCount val="8"/>
                <c:pt idx="0">
                  <c:v>1</c:v>
                </c:pt>
                <c:pt idx="1">
                  <c:v>4</c:v>
                </c:pt>
                <c:pt idx="4">
                  <c:v>2</c:v>
                </c:pt>
                <c:pt idx="7">
                  <c:v>2</c:v>
                </c:pt>
              </c:numCache>
            </c:numRef>
          </c:val>
          <c:extLst>
            <c:ext xmlns:c16="http://schemas.microsoft.com/office/drawing/2014/chart" uri="{C3380CC4-5D6E-409C-BE32-E72D297353CC}">
              <c16:uniqueId val="{00000000-BA0B-41CA-8283-9A023E1A9FDE}"/>
            </c:ext>
          </c:extLst>
        </c:ser>
        <c:ser>
          <c:idx val="1"/>
          <c:order val="1"/>
          <c:tx>
            <c:strRef>
              <c:f>'Resumen - Gráficas'!$BW$4:$BW$5</c:f>
              <c:strCache>
                <c:ptCount val="1"/>
                <c:pt idx="0">
                  <c:v>F1 SERVICES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 Gráficas'!$BU$6:$BU$14</c:f>
              <c:strCache>
                <c:ptCount val="8"/>
                <c:pt idx="0">
                  <c:v>Ene</c:v>
                </c:pt>
                <c:pt idx="1">
                  <c:v>Feb</c:v>
                </c:pt>
                <c:pt idx="2">
                  <c:v>Mar</c:v>
                </c:pt>
                <c:pt idx="3">
                  <c:v>Abr</c:v>
                </c:pt>
                <c:pt idx="4">
                  <c:v>Jun</c:v>
                </c:pt>
                <c:pt idx="5">
                  <c:v>Jul</c:v>
                </c:pt>
                <c:pt idx="6">
                  <c:v>Set</c:v>
                </c:pt>
                <c:pt idx="7">
                  <c:v>Oct</c:v>
                </c:pt>
              </c:strCache>
            </c:strRef>
          </c:cat>
          <c:val>
            <c:numRef>
              <c:f>'Resumen - Gráficas'!$BW$6:$BW$14</c:f>
              <c:numCache>
                <c:formatCode>General</c:formatCode>
                <c:ptCount val="8"/>
                <c:pt idx="0">
                  <c:v>1</c:v>
                </c:pt>
                <c:pt idx="7">
                  <c:v>1</c:v>
                </c:pt>
              </c:numCache>
            </c:numRef>
          </c:val>
          <c:extLst>
            <c:ext xmlns:c16="http://schemas.microsoft.com/office/drawing/2014/chart" uri="{C3380CC4-5D6E-409C-BE32-E72D297353CC}">
              <c16:uniqueId val="{00000001-BA0B-41CA-8283-9A023E1A9FDE}"/>
            </c:ext>
          </c:extLst>
        </c:ser>
        <c:ser>
          <c:idx val="2"/>
          <c:order val="2"/>
          <c:tx>
            <c:strRef>
              <c:f>'Resumen - Gráficas'!$BX$4:$BX$5</c:f>
              <c:strCache>
                <c:ptCount val="1"/>
                <c:pt idx="0">
                  <c:v>HUAWEI</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 Gráficas'!$BU$6:$BU$14</c:f>
              <c:strCache>
                <c:ptCount val="8"/>
                <c:pt idx="0">
                  <c:v>Ene</c:v>
                </c:pt>
                <c:pt idx="1">
                  <c:v>Feb</c:v>
                </c:pt>
                <c:pt idx="2">
                  <c:v>Mar</c:v>
                </c:pt>
                <c:pt idx="3">
                  <c:v>Abr</c:v>
                </c:pt>
                <c:pt idx="4">
                  <c:v>Jun</c:v>
                </c:pt>
                <c:pt idx="5">
                  <c:v>Jul</c:v>
                </c:pt>
                <c:pt idx="6">
                  <c:v>Set</c:v>
                </c:pt>
                <c:pt idx="7">
                  <c:v>Oct</c:v>
                </c:pt>
              </c:strCache>
            </c:strRef>
          </c:cat>
          <c:val>
            <c:numRef>
              <c:f>'Resumen - Gráficas'!$BX$6:$BX$14</c:f>
              <c:numCache>
                <c:formatCode>General</c:formatCode>
                <c:ptCount val="8"/>
                <c:pt idx="1">
                  <c:v>1</c:v>
                </c:pt>
                <c:pt idx="2">
                  <c:v>2</c:v>
                </c:pt>
                <c:pt idx="3">
                  <c:v>1</c:v>
                </c:pt>
                <c:pt idx="5">
                  <c:v>4</c:v>
                </c:pt>
                <c:pt idx="6">
                  <c:v>12</c:v>
                </c:pt>
                <c:pt idx="7">
                  <c:v>7</c:v>
                </c:pt>
              </c:numCache>
            </c:numRef>
          </c:val>
          <c:extLst>
            <c:ext xmlns:c16="http://schemas.microsoft.com/office/drawing/2014/chart" uri="{C3380CC4-5D6E-409C-BE32-E72D297353CC}">
              <c16:uniqueId val="{00000002-BA0B-41CA-8283-9A023E1A9FDE}"/>
            </c:ext>
          </c:extLst>
        </c:ser>
        <c:ser>
          <c:idx val="3"/>
          <c:order val="3"/>
          <c:tx>
            <c:strRef>
              <c:f>'Resumen - Gráficas'!$BY$4:$BY$5</c:f>
              <c:strCache>
                <c:ptCount val="1"/>
                <c:pt idx="0">
                  <c:v>SEMI</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 Gráficas'!$BU$6:$BU$14</c:f>
              <c:strCache>
                <c:ptCount val="8"/>
                <c:pt idx="0">
                  <c:v>Ene</c:v>
                </c:pt>
                <c:pt idx="1">
                  <c:v>Feb</c:v>
                </c:pt>
                <c:pt idx="2">
                  <c:v>Mar</c:v>
                </c:pt>
                <c:pt idx="3">
                  <c:v>Abr</c:v>
                </c:pt>
                <c:pt idx="4">
                  <c:v>Jun</c:v>
                </c:pt>
                <c:pt idx="5">
                  <c:v>Jul</c:v>
                </c:pt>
                <c:pt idx="6">
                  <c:v>Set</c:v>
                </c:pt>
                <c:pt idx="7">
                  <c:v>Oct</c:v>
                </c:pt>
              </c:strCache>
            </c:strRef>
          </c:cat>
          <c:val>
            <c:numRef>
              <c:f>'Resumen - Gráficas'!$BY$6:$BY$14</c:f>
              <c:numCache>
                <c:formatCode>General</c:formatCode>
                <c:ptCount val="8"/>
                <c:pt idx="4">
                  <c:v>2</c:v>
                </c:pt>
                <c:pt idx="6">
                  <c:v>1</c:v>
                </c:pt>
                <c:pt idx="7">
                  <c:v>3</c:v>
                </c:pt>
              </c:numCache>
            </c:numRef>
          </c:val>
          <c:extLst>
            <c:ext xmlns:c16="http://schemas.microsoft.com/office/drawing/2014/chart" uri="{C3380CC4-5D6E-409C-BE32-E72D297353CC}">
              <c16:uniqueId val="{00000003-BA0B-41CA-8283-9A023E1A9FDE}"/>
            </c:ext>
          </c:extLst>
        </c:ser>
        <c:ser>
          <c:idx val="4"/>
          <c:order val="4"/>
          <c:tx>
            <c:strRef>
              <c:f>'Resumen - Gráficas'!$BZ$4:$BZ$5</c:f>
              <c:strCache>
                <c:ptCount val="1"/>
                <c:pt idx="0">
                  <c:v>CJ TELECOM</c:v>
                </c:pt>
              </c:strCache>
            </c:strRef>
          </c:tx>
          <c:spPr>
            <a:solidFill>
              <a:schemeClr val="accent5"/>
            </a:solidFill>
            <a:ln>
              <a:noFill/>
            </a:ln>
            <a:effectLst/>
          </c:spPr>
          <c:invertIfNegative val="0"/>
          <c:cat>
            <c:strRef>
              <c:f>'Resumen - Gráficas'!$BU$6:$BU$14</c:f>
              <c:strCache>
                <c:ptCount val="8"/>
                <c:pt idx="0">
                  <c:v>Ene</c:v>
                </c:pt>
                <c:pt idx="1">
                  <c:v>Feb</c:v>
                </c:pt>
                <c:pt idx="2">
                  <c:v>Mar</c:v>
                </c:pt>
                <c:pt idx="3">
                  <c:v>Abr</c:v>
                </c:pt>
                <c:pt idx="4">
                  <c:v>Jun</c:v>
                </c:pt>
                <c:pt idx="5">
                  <c:v>Jul</c:v>
                </c:pt>
                <c:pt idx="6">
                  <c:v>Set</c:v>
                </c:pt>
                <c:pt idx="7">
                  <c:v>Oct</c:v>
                </c:pt>
              </c:strCache>
            </c:strRef>
          </c:cat>
          <c:val>
            <c:numRef>
              <c:f>'Resumen - Gráficas'!$BZ$6:$BZ$14</c:f>
              <c:numCache>
                <c:formatCode>General</c:formatCode>
                <c:ptCount val="8"/>
                <c:pt idx="4">
                  <c:v>1</c:v>
                </c:pt>
              </c:numCache>
            </c:numRef>
          </c:val>
          <c:extLst>
            <c:ext xmlns:c16="http://schemas.microsoft.com/office/drawing/2014/chart" uri="{C3380CC4-5D6E-409C-BE32-E72D297353CC}">
              <c16:uniqueId val="{00000004-BA0B-41CA-8283-9A023E1A9FDE}"/>
            </c:ext>
          </c:extLst>
        </c:ser>
        <c:ser>
          <c:idx val="5"/>
          <c:order val="5"/>
          <c:tx>
            <c:strRef>
              <c:f>'Resumen - Gráficas'!$CA$4:$CA$5</c:f>
              <c:strCache>
                <c:ptCount val="1"/>
                <c:pt idx="0">
                  <c:v>ICETEL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 Gráficas'!$BU$6:$BU$14</c:f>
              <c:strCache>
                <c:ptCount val="8"/>
                <c:pt idx="0">
                  <c:v>Ene</c:v>
                </c:pt>
                <c:pt idx="1">
                  <c:v>Feb</c:v>
                </c:pt>
                <c:pt idx="2">
                  <c:v>Mar</c:v>
                </c:pt>
                <c:pt idx="3">
                  <c:v>Abr</c:v>
                </c:pt>
                <c:pt idx="4">
                  <c:v>Jun</c:v>
                </c:pt>
                <c:pt idx="5">
                  <c:v>Jul</c:v>
                </c:pt>
                <c:pt idx="6">
                  <c:v>Set</c:v>
                </c:pt>
                <c:pt idx="7">
                  <c:v>Oct</c:v>
                </c:pt>
              </c:strCache>
            </c:strRef>
          </c:cat>
          <c:val>
            <c:numRef>
              <c:f>'Resumen - Gráficas'!$CA$6:$CA$14</c:f>
              <c:numCache>
                <c:formatCode>General</c:formatCode>
                <c:ptCount val="8"/>
                <c:pt idx="5">
                  <c:v>1</c:v>
                </c:pt>
                <c:pt idx="7">
                  <c:v>1</c:v>
                </c:pt>
              </c:numCache>
            </c:numRef>
          </c:val>
          <c:extLst>
            <c:ext xmlns:c16="http://schemas.microsoft.com/office/drawing/2014/chart" uri="{C3380CC4-5D6E-409C-BE32-E72D297353CC}">
              <c16:uniqueId val="{00000005-BA0B-41CA-8283-9A023E1A9FDE}"/>
            </c:ext>
          </c:extLst>
        </c:ser>
        <c:ser>
          <c:idx val="6"/>
          <c:order val="6"/>
          <c:tx>
            <c:strRef>
              <c:f>'Resumen - Gráficas'!$CB$4:$CB$5</c:f>
              <c:strCache>
                <c:ptCount val="1"/>
                <c:pt idx="0">
                  <c:v>INCOBECH</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 Gráficas'!$BU$6:$BU$14</c:f>
              <c:strCache>
                <c:ptCount val="8"/>
                <c:pt idx="0">
                  <c:v>Ene</c:v>
                </c:pt>
                <c:pt idx="1">
                  <c:v>Feb</c:v>
                </c:pt>
                <c:pt idx="2">
                  <c:v>Mar</c:v>
                </c:pt>
                <c:pt idx="3">
                  <c:v>Abr</c:v>
                </c:pt>
                <c:pt idx="4">
                  <c:v>Jun</c:v>
                </c:pt>
                <c:pt idx="5">
                  <c:v>Jul</c:v>
                </c:pt>
                <c:pt idx="6">
                  <c:v>Set</c:v>
                </c:pt>
                <c:pt idx="7">
                  <c:v>Oct</c:v>
                </c:pt>
              </c:strCache>
            </c:strRef>
          </c:cat>
          <c:val>
            <c:numRef>
              <c:f>'Resumen - Gráficas'!$CB$6:$CB$14</c:f>
              <c:numCache>
                <c:formatCode>General</c:formatCode>
                <c:ptCount val="8"/>
                <c:pt idx="5">
                  <c:v>1</c:v>
                </c:pt>
                <c:pt idx="7">
                  <c:v>1</c:v>
                </c:pt>
              </c:numCache>
            </c:numRef>
          </c:val>
          <c:extLst>
            <c:ext xmlns:c16="http://schemas.microsoft.com/office/drawing/2014/chart" uri="{C3380CC4-5D6E-409C-BE32-E72D297353CC}">
              <c16:uniqueId val="{00000006-BA0B-41CA-8283-9A023E1A9FDE}"/>
            </c:ext>
          </c:extLst>
        </c:ser>
        <c:ser>
          <c:idx val="7"/>
          <c:order val="7"/>
          <c:tx>
            <c:strRef>
              <c:f>'Resumen - Gráficas'!$CC$4:$CC$5</c:f>
              <c:strCache>
                <c:ptCount val="1"/>
                <c:pt idx="0">
                  <c:v>AJ</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 Gráficas'!$BU$6:$BU$14</c:f>
              <c:strCache>
                <c:ptCount val="8"/>
                <c:pt idx="0">
                  <c:v>Ene</c:v>
                </c:pt>
                <c:pt idx="1">
                  <c:v>Feb</c:v>
                </c:pt>
                <c:pt idx="2">
                  <c:v>Mar</c:v>
                </c:pt>
                <c:pt idx="3">
                  <c:v>Abr</c:v>
                </c:pt>
                <c:pt idx="4">
                  <c:v>Jun</c:v>
                </c:pt>
                <c:pt idx="5">
                  <c:v>Jul</c:v>
                </c:pt>
                <c:pt idx="6">
                  <c:v>Set</c:v>
                </c:pt>
                <c:pt idx="7">
                  <c:v>Oct</c:v>
                </c:pt>
              </c:strCache>
            </c:strRef>
          </c:cat>
          <c:val>
            <c:numRef>
              <c:f>'Resumen - Gráficas'!$CC$6:$CC$14</c:f>
              <c:numCache>
                <c:formatCode>General</c:formatCode>
                <c:ptCount val="8"/>
                <c:pt idx="6">
                  <c:v>1</c:v>
                </c:pt>
                <c:pt idx="7">
                  <c:v>7</c:v>
                </c:pt>
              </c:numCache>
            </c:numRef>
          </c:val>
          <c:extLst>
            <c:ext xmlns:c16="http://schemas.microsoft.com/office/drawing/2014/chart" uri="{C3380CC4-5D6E-409C-BE32-E72D297353CC}">
              <c16:uniqueId val="{00000007-BA0B-41CA-8283-9A023E1A9FDE}"/>
            </c:ext>
          </c:extLst>
        </c:ser>
        <c:ser>
          <c:idx val="8"/>
          <c:order val="8"/>
          <c:tx>
            <c:strRef>
              <c:f>'Resumen - Gráficas'!$CD$4:$CD$5</c:f>
              <c:strCache>
                <c:ptCount val="1"/>
                <c:pt idx="0">
                  <c:v>MERIT</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 Gráficas'!$BU$6:$BU$14</c:f>
              <c:strCache>
                <c:ptCount val="8"/>
                <c:pt idx="0">
                  <c:v>Ene</c:v>
                </c:pt>
                <c:pt idx="1">
                  <c:v>Feb</c:v>
                </c:pt>
                <c:pt idx="2">
                  <c:v>Mar</c:v>
                </c:pt>
                <c:pt idx="3">
                  <c:v>Abr</c:v>
                </c:pt>
                <c:pt idx="4">
                  <c:v>Jun</c:v>
                </c:pt>
                <c:pt idx="5">
                  <c:v>Jul</c:v>
                </c:pt>
                <c:pt idx="6">
                  <c:v>Set</c:v>
                </c:pt>
                <c:pt idx="7">
                  <c:v>Oct</c:v>
                </c:pt>
              </c:strCache>
            </c:strRef>
          </c:cat>
          <c:val>
            <c:numRef>
              <c:f>'Resumen - Gráficas'!$CD$6:$CD$14</c:f>
              <c:numCache>
                <c:formatCode>General</c:formatCode>
                <c:ptCount val="8"/>
                <c:pt idx="6">
                  <c:v>2</c:v>
                </c:pt>
              </c:numCache>
            </c:numRef>
          </c:val>
          <c:extLst>
            <c:ext xmlns:c16="http://schemas.microsoft.com/office/drawing/2014/chart" uri="{C3380CC4-5D6E-409C-BE32-E72D297353CC}">
              <c16:uniqueId val="{00000008-BA0B-41CA-8283-9A023E1A9FDE}"/>
            </c:ext>
          </c:extLst>
        </c:ser>
        <c:ser>
          <c:idx val="9"/>
          <c:order val="9"/>
          <c:tx>
            <c:strRef>
              <c:f>'Resumen - Gráficas'!$CE$4:$CE$5</c:f>
              <c:strCache>
                <c:ptCount val="1"/>
                <c:pt idx="0">
                  <c:v>STP</c:v>
                </c:pt>
              </c:strCache>
            </c:strRef>
          </c:tx>
          <c:spPr>
            <a:solidFill>
              <a:schemeClr val="accent4">
                <a:lumMod val="60000"/>
              </a:schemeClr>
            </a:solidFill>
            <a:ln>
              <a:noFill/>
            </a:ln>
            <a:effectLst/>
          </c:spPr>
          <c:invertIfNegative val="0"/>
          <c:cat>
            <c:strRef>
              <c:f>'Resumen - Gráficas'!$BU$6:$BU$14</c:f>
              <c:strCache>
                <c:ptCount val="8"/>
                <c:pt idx="0">
                  <c:v>Ene</c:v>
                </c:pt>
                <c:pt idx="1">
                  <c:v>Feb</c:v>
                </c:pt>
                <c:pt idx="2">
                  <c:v>Mar</c:v>
                </c:pt>
                <c:pt idx="3">
                  <c:v>Abr</c:v>
                </c:pt>
                <c:pt idx="4">
                  <c:v>Jun</c:v>
                </c:pt>
                <c:pt idx="5">
                  <c:v>Jul</c:v>
                </c:pt>
                <c:pt idx="6">
                  <c:v>Set</c:v>
                </c:pt>
                <c:pt idx="7">
                  <c:v>Oct</c:v>
                </c:pt>
              </c:strCache>
            </c:strRef>
          </c:cat>
          <c:val>
            <c:numRef>
              <c:f>'Resumen - Gráficas'!$CE$6:$CE$14</c:f>
              <c:numCache>
                <c:formatCode>General</c:formatCode>
                <c:ptCount val="8"/>
                <c:pt idx="6">
                  <c:v>1</c:v>
                </c:pt>
              </c:numCache>
            </c:numRef>
          </c:val>
          <c:extLst>
            <c:ext xmlns:c16="http://schemas.microsoft.com/office/drawing/2014/chart" uri="{C3380CC4-5D6E-409C-BE32-E72D297353CC}">
              <c16:uniqueId val="{00000000-5F18-4EB5-A9DC-A5B3D9196600}"/>
            </c:ext>
          </c:extLst>
        </c:ser>
        <c:ser>
          <c:idx val="10"/>
          <c:order val="10"/>
          <c:tx>
            <c:strRef>
              <c:f>'Resumen - Gráficas'!$CF$4:$CF$5</c:f>
              <c:strCache>
                <c:ptCount val="1"/>
                <c:pt idx="0">
                  <c:v>TELRAD</c:v>
                </c:pt>
              </c:strCache>
            </c:strRef>
          </c:tx>
          <c:spPr>
            <a:solidFill>
              <a:schemeClr val="accent5">
                <a:lumMod val="60000"/>
              </a:schemeClr>
            </a:solidFill>
            <a:ln>
              <a:noFill/>
            </a:ln>
            <a:effectLst/>
          </c:spPr>
          <c:invertIfNegative val="0"/>
          <c:cat>
            <c:strRef>
              <c:f>'Resumen - Gráficas'!$BU$6:$BU$14</c:f>
              <c:strCache>
                <c:ptCount val="8"/>
                <c:pt idx="0">
                  <c:v>Ene</c:v>
                </c:pt>
                <c:pt idx="1">
                  <c:v>Feb</c:v>
                </c:pt>
                <c:pt idx="2">
                  <c:v>Mar</c:v>
                </c:pt>
                <c:pt idx="3">
                  <c:v>Abr</c:v>
                </c:pt>
                <c:pt idx="4">
                  <c:v>Jun</c:v>
                </c:pt>
                <c:pt idx="5">
                  <c:v>Jul</c:v>
                </c:pt>
                <c:pt idx="6">
                  <c:v>Set</c:v>
                </c:pt>
                <c:pt idx="7">
                  <c:v>Oct</c:v>
                </c:pt>
              </c:strCache>
            </c:strRef>
          </c:cat>
          <c:val>
            <c:numRef>
              <c:f>'Resumen - Gráficas'!$CF$6:$CF$14</c:f>
              <c:numCache>
                <c:formatCode>General</c:formatCode>
                <c:ptCount val="8"/>
                <c:pt idx="6">
                  <c:v>1</c:v>
                </c:pt>
              </c:numCache>
            </c:numRef>
          </c:val>
          <c:extLst>
            <c:ext xmlns:c16="http://schemas.microsoft.com/office/drawing/2014/chart" uri="{C3380CC4-5D6E-409C-BE32-E72D297353CC}">
              <c16:uniqueId val="{00000001-5F18-4EB5-A9DC-A5B3D9196600}"/>
            </c:ext>
          </c:extLst>
        </c:ser>
        <c:ser>
          <c:idx val="11"/>
          <c:order val="11"/>
          <c:tx>
            <c:strRef>
              <c:f>'Resumen - Gráficas'!$CG$4:$CG$5</c:f>
              <c:strCache>
                <c:ptCount val="1"/>
                <c:pt idx="0">
                  <c:v>RD TELECOM</c:v>
                </c:pt>
              </c:strCache>
            </c:strRef>
          </c:tx>
          <c:spPr>
            <a:solidFill>
              <a:schemeClr val="accent6">
                <a:lumMod val="60000"/>
              </a:schemeClr>
            </a:solidFill>
            <a:ln>
              <a:noFill/>
            </a:ln>
            <a:effectLst/>
          </c:spPr>
          <c:invertIfNegative val="0"/>
          <c:cat>
            <c:strRef>
              <c:f>'Resumen - Gráficas'!$BU$6:$BU$14</c:f>
              <c:strCache>
                <c:ptCount val="8"/>
                <c:pt idx="0">
                  <c:v>Ene</c:v>
                </c:pt>
                <c:pt idx="1">
                  <c:v>Feb</c:v>
                </c:pt>
                <c:pt idx="2">
                  <c:v>Mar</c:v>
                </c:pt>
                <c:pt idx="3">
                  <c:v>Abr</c:v>
                </c:pt>
                <c:pt idx="4">
                  <c:v>Jun</c:v>
                </c:pt>
                <c:pt idx="5">
                  <c:v>Jul</c:v>
                </c:pt>
                <c:pt idx="6">
                  <c:v>Set</c:v>
                </c:pt>
                <c:pt idx="7">
                  <c:v>Oct</c:v>
                </c:pt>
              </c:strCache>
            </c:strRef>
          </c:cat>
          <c:val>
            <c:numRef>
              <c:f>'Resumen - Gráficas'!$CG$6:$CG$14</c:f>
              <c:numCache>
                <c:formatCode>General</c:formatCode>
                <c:ptCount val="8"/>
                <c:pt idx="6">
                  <c:v>1</c:v>
                </c:pt>
                <c:pt idx="7">
                  <c:v>1</c:v>
                </c:pt>
              </c:numCache>
            </c:numRef>
          </c:val>
          <c:extLst>
            <c:ext xmlns:c16="http://schemas.microsoft.com/office/drawing/2014/chart" uri="{C3380CC4-5D6E-409C-BE32-E72D297353CC}">
              <c16:uniqueId val="{00000002-5F18-4EB5-A9DC-A5B3D9196600}"/>
            </c:ext>
          </c:extLst>
        </c:ser>
        <c:dLbls>
          <c:showLegendKey val="0"/>
          <c:showVal val="0"/>
          <c:showCatName val="0"/>
          <c:showSerName val="0"/>
          <c:showPercent val="0"/>
          <c:showBubbleSize val="0"/>
        </c:dLbls>
        <c:gapWidth val="219"/>
        <c:overlap val="-27"/>
        <c:axId val="788192383"/>
        <c:axId val="1113328575"/>
      </c:barChart>
      <c:catAx>
        <c:axId val="78819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113328575"/>
        <c:crosses val="autoZero"/>
        <c:auto val="1"/>
        <c:lblAlgn val="ctr"/>
        <c:lblOffset val="100"/>
        <c:noMultiLvlLbl val="0"/>
      </c:catAx>
      <c:valAx>
        <c:axId val="1113328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78819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259291</xdr:colOff>
      <xdr:row>28</xdr:row>
      <xdr:rowOff>154518</xdr:rowOff>
    </xdr:from>
    <xdr:to>
      <xdr:col>15</xdr:col>
      <xdr:colOff>592667</xdr:colOff>
      <xdr:row>46</xdr:row>
      <xdr:rowOff>106894</xdr:rowOff>
    </xdr:to>
    <xdr:graphicFrame macro="">
      <xdr:nvGraphicFramePr>
        <xdr:cNvPr id="2" name="Gráfico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293688</xdr:colOff>
      <xdr:row>14</xdr:row>
      <xdr:rowOff>125941</xdr:rowOff>
    </xdr:from>
    <xdr:to>
      <xdr:col>5</xdr:col>
      <xdr:colOff>393701</xdr:colOff>
      <xdr:row>26</xdr:row>
      <xdr:rowOff>16403</xdr:rowOff>
    </xdr:to>
    <xdr:graphicFrame macro="">
      <xdr:nvGraphicFramePr>
        <xdr:cNvPr id="3" name="Gráfico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28</xdr:row>
      <xdr:rowOff>162984</xdr:rowOff>
    </xdr:from>
    <xdr:to>
      <xdr:col>24</xdr:col>
      <xdr:colOff>423333</xdr:colOff>
      <xdr:row>47</xdr:row>
      <xdr:rowOff>127000</xdr:rowOff>
    </xdr:to>
    <xdr:graphicFrame macro="">
      <xdr:nvGraphicFramePr>
        <xdr:cNvPr id="5" name="Gráfico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693207</xdr:colOff>
      <xdr:row>21</xdr:row>
      <xdr:rowOff>127000</xdr:rowOff>
    </xdr:from>
    <xdr:to>
      <xdr:col>33</xdr:col>
      <xdr:colOff>148167</xdr:colOff>
      <xdr:row>35</xdr:row>
      <xdr:rowOff>186266</xdr:rowOff>
    </xdr:to>
    <xdr:graphicFrame macro="">
      <xdr:nvGraphicFramePr>
        <xdr:cNvPr id="6" name="Gráfico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629708</xdr:colOff>
      <xdr:row>7</xdr:row>
      <xdr:rowOff>67734</xdr:rowOff>
    </xdr:from>
    <xdr:to>
      <xdr:col>49</xdr:col>
      <xdr:colOff>31750</xdr:colOff>
      <xdr:row>21</xdr:row>
      <xdr:rowOff>143934</xdr:rowOff>
    </xdr:to>
    <xdr:graphicFrame macro="">
      <xdr:nvGraphicFramePr>
        <xdr:cNvPr id="7" name="Gráfico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52</xdr:col>
      <xdr:colOff>682625</xdr:colOff>
      <xdr:row>16</xdr:row>
      <xdr:rowOff>74084</xdr:rowOff>
    </xdr:from>
    <xdr:to>
      <xdr:col>57</xdr:col>
      <xdr:colOff>74083</xdr:colOff>
      <xdr:row>28</xdr:row>
      <xdr:rowOff>133351</xdr:rowOff>
    </xdr:to>
    <xdr:graphicFrame macro="">
      <xdr:nvGraphicFramePr>
        <xdr:cNvPr id="8" name="Gráfico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61</xdr:col>
      <xdr:colOff>68792</xdr:colOff>
      <xdr:row>20</xdr:row>
      <xdr:rowOff>152400</xdr:rowOff>
    </xdr:from>
    <xdr:to>
      <xdr:col>69</xdr:col>
      <xdr:colOff>624416</xdr:colOff>
      <xdr:row>35</xdr:row>
      <xdr:rowOff>38100</xdr:rowOff>
    </xdr:to>
    <xdr:graphicFrame macro="">
      <xdr:nvGraphicFramePr>
        <xdr:cNvPr id="9" name="Gráfico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71</xdr:col>
      <xdr:colOff>476249</xdr:colOff>
      <xdr:row>17</xdr:row>
      <xdr:rowOff>94192</xdr:rowOff>
    </xdr:from>
    <xdr:to>
      <xdr:col>87</xdr:col>
      <xdr:colOff>317499</xdr:colOff>
      <xdr:row>31</xdr:row>
      <xdr:rowOff>170392</xdr:rowOff>
    </xdr:to>
    <xdr:graphicFrame macro="">
      <xdr:nvGraphicFramePr>
        <xdr:cNvPr id="4" name="Gráfico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Documents%20and%20Settings\866466\Local%20Settings\Temporary%20Internet%20Files\OLK560\AsilvaBKP\D\Cesar\2004\Pr&#233;%20Pago\nul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Groupdir\UMTS\01%20-%20RF%20Design%20Review\9%20-%20Template%20PDRF\BRTESS\Cellplanning\Telecom_americas_overlay\Design%20Evaluation\Relat&#243;rios\RELATORIO_SEARCHRING_SICAS41_Rev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05.Projetos%20(Brasil%202010)\03%20-%20Claro\7%20-%20Gerdau%20S&#227;o%20Jos&#233;%20dos%20Campos\01%20-PDRF\WINDOWS\TEMP\PROPOSAL_TEMPLATE_27.08.20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X:\Groupdir\UMTS\01%20-%20RF%20Design%20Review\9%20-%20Template%20PDRF\BRTESS\CLARO%20RF\01%20Design\01%20Cellplanning\07%20SITES\SICAS06\SICAS06%20Relat&#243;rio%20de%20Projeto%20Detalhado%20de%20RF%20Rev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X:\Groupdir\UMTS\01%20-%20RF%20Design%20Review\9%20-%20Template%20PDRF\Gsm%20Tess\1%20-%20BTS_TESS_masterfiles\SIAMR04%20(%20AMERICANA%20)\SIAMR04%20-%203%20RF\9204_Vistoria_RF_Rev_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entelperu.sharepoint.com/teams/edvpr/jiran/Documentos%20compartidos/00.04.%20Calidad/03.%20SNC/NC%20Actualizado.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RECEPCAO\Indoor\Comba\Claro%20PR\Pr&#233;dio%20da%20Claro\Vistoria%20Swedcom\QRF-UPRCCE2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Ondabox\serv_f\Documents%20and%20Settings\qmarket\Desktop\USMSMT81_PDRF_CandidatoB.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ECEPCAO\Indoor\DOCUME~1\72023529\CONFIG~1\Temp\Rar$DI00.782\UMTS_PDRF_CEALD2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iteroi\Technical\Proyecto%20CLARO%20BH\Otros\RJCOP21_Qualificaao_rev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X:\Groupdir\UMTS\01%20-%20RF%20Design%20Review\9%20-%20Template%20PDRF\Gsm%20Tess\1%20-%20BTS_TESS_masterfiles\SIPGE08%20(%20PRAIA%20GRANDE%20)\SIPGE08%20-%203%20RF\SIPGE08_Vistoria_RF.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X:\05.Projetos%20(Brasil%202010)\03%20-%20Claro\7%20-%20Gerdau%20S&#227;o%20Jos&#233;%20dos%20Campos\01%20-PDRF\05.Projetos%20(Brasil)\6-%20Claro\FGV%20-%20SP\01%20-%20PDRF\PDRF%20FGV.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KEVIN/Desktop/master%20jose/MasterPlan_MMOO_LH.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ECEPCAO\Indoor\Brasil\Brasil%20Claro%20II\Request%20Files\UESXX01_Relat&#39629;io__de_Projeto_Detalhado_de_RF_Indoor_UMTS_rev_0\UMTS_QRF_Rev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G:\lixo.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140813%20Plan%20Base%20sites_In%20Building.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G:\DOCUME~1\guijimca\LOCALS~1\Temp\Metropolis%20ADM%20v14%20Ve.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ervidor\c\Projetos\Telecom%20Americas%202003\Aceita&#231;&#227;o\Gilter\Modelo%20de%20Relatorio%20Final%20de%20RF%20Rev%20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geraldo\grave_aqui$\Documents%20and%20Settings\rmanthey\Local%20Settings\Temporary%20Internet%20Files\OLK9\Old%202002\HLR%20capacity%20planning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Reynaldo_pc\rc_drop%20box\WINDOWS\DESKTOP\guestangeles\tools\Model%20cost%20sales%20TN-1X.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brz-stor01\Groups\Engineering\Private\workarea\Projetos\Engenharia\BRT%20-%20RFS\Santa%20Catarina\Majestic%20Hotel\Projeto%20Preliminar\PDRF%20Pr&#233;dio%20Albert%20Einstei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1"/>
      <sheetName val="Plan2"/>
      <sheetName val="Plan3"/>
      <sheetName val="LBS"/>
      <sheetName val="TMS TECNOCOM"/>
      <sheetName val="nulo"/>
      <sheetName val="Plataforma Pre-pago"/>
      <sheetName val="Plataforma"/>
      <sheetName val="#REF"/>
      <sheetName val="Input variables"/>
      <sheetName val="CBSC-VOZ"/>
      <sheetName val="Tablas"/>
      <sheetName val="Amp."/>
      <sheetName val="RBS 884M 30W Omni"/>
      <sheetName val="Macro1"/>
      <sheetName val="Configurator"/>
      <sheetName val="Input Table"/>
      <sheetName val="SUmmary (2)"/>
      <sheetName val="GRAFICOS BSC paco"/>
      <sheetName val="GRAFICOS BSC alex"/>
      <sheetName val="Preços FOB &amp; DDP - Ericsson"/>
      <sheetName val="_REF"/>
      <sheetName val="CBSC_VOZ"/>
      <sheetName val="Amp_"/>
      <sheetName val="SUmmary _2_"/>
      <sheetName val="Preços FOB _ DDP _ Ericsson"/>
      <sheetName val="TMS_TECNOCOM"/>
      <sheetName val="Plataforma_Pre-pago"/>
      <sheetName val="Input_variables"/>
      <sheetName val="Amp_1"/>
      <sheetName val="RBS_884M_30W_Omni"/>
      <sheetName val="Input_Table"/>
      <sheetName val="SUmmary_(2)"/>
      <sheetName val="GRAFICOS_BSC_paco"/>
      <sheetName val="GRAFICOS_BSC_alex"/>
      <sheetName val="Preços_FOB_&amp;_DDP_-_Ericsson"/>
      <sheetName val="SUmmary__2_"/>
      <sheetName val="Preços_FOB___DDP___Ericsson"/>
      <sheetName val="DN_Datos_general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DASTRO"/>
      <sheetName val="CAPA"/>
      <sheetName val="CONFIGURAÇÃO_SR"/>
      <sheetName val="FOTOS"/>
      <sheetName val="MAPA SEARCH RING"/>
      <sheetName val="MAPA COBERTURA"/>
      <sheetName val="TESTE PROPAGAÇÃO_DRIVE-TEST"/>
      <sheetName val="MAPA_SEARCH_RING"/>
      <sheetName val="MAPA_COBERTURA"/>
      <sheetName val="TESTE_PROPAGAÇÃO_DRIVE-TEST"/>
      <sheetName val="RELATORIO_SEARCHRING_SICAS41_Re"/>
    </sheetNames>
    <sheetDataSet>
      <sheetData sheetId="0">
        <row r="28">
          <cell r="B28" t="str">
            <v>NÃO</v>
          </cell>
        </row>
        <row r="29">
          <cell r="B29" t="str">
            <v>TIM</v>
          </cell>
        </row>
        <row r="30">
          <cell r="B30" t="str">
            <v>OI</v>
          </cell>
        </row>
        <row r="31">
          <cell r="B31" t="str">
            <v>BCP</v>
          </cell>
        </row>
        <row r="32">
          <cell r="B32" t="str">
            <v>ATC</v>
          </cell>
        </row>
        <row r="33">
          <cell r="B33" t="str">
            <v>T4U</v>
          </cell>
        </row>
        <row r="34">
          <cell r="B34" t="str">
            <v>VÉSPER</v>
          </cell>
        </row>
        <row r="35">
          <cell r="B35" t="str">
            <v>TELEFÔNICA</v>
          </cell>
        </row>
        <row r="36">
          <cell r="B36" t="str">
            <v>TELESP CELULAR</v>
          </cell>
        </row>
        <row r="37">
          <cell r="B37" t="str">
            <v>BrT</v>
          </cell>
        </row>
        <row r="38">
          <cell r="B38" t="str">
            <v>EMBRATEL</v>
          </cell>
        </row>
        <row r="39">
          <cell r="B39" t="str">
            <v>TELEMAR</v>
          </cell>
        </row>
        <row r="40">
          <cell r="B40" t="str">
            <v>NEXTEL</v>
          </cell>
        </row>
        <row r="41">
          <cell r="B41" t="str">
            <v>ATL</v>
          </cell>
        </row>
        <row r="42">
          <cell r="B42" t="str">
            <v>TESS</v>
          </cell>
        </row>
        <row r="43">
          <cell r="B43" t="str">
            <v>AMERICEL</v>
          </cell>
        </row>
        <row r="44">
          <cell r="B44" t="str">
            <v>CLARO</v>
          </cell>
        </row>
      </sheetData>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Table"/>
      <sheetName val="Summary - Y1"/>
      <sheetName val="Hw - Y1"/>
      <sheetName val="Sw - Y1"/>
      <sheetName val="Services - Y1"/>
      <sheetName val="Training - Y1"/>
      <sheetName val="OEM - Y1"/>
      <sheetName val="PROPOSAL_TEMPLATE_27.08.2002"/>
      <sheetName val="Input_Table"/>
      <sheetName val="Summary_-_Y1"/>
      <sheetName val="Hw_-_Y1"/>
      <sheetName val="Sw_-_Y1"/>
      <sheetName val="Services_-_Y1"/>
      <sheetName val="Training_-_Y1"/>
      <sheetName val="OEM_-_Y1"/>
      <sheetName val="PROPOSAL_TEMPLATE_27_08_2002"/>
      <sheetName val="CADASTRO"/>
    </sheetNames>
    <sheetDataSet>
      <sheetData sheetId="0" refreshError="1">
        <row r="24">
          <cell r="B24">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DOS"/>
      <sheetName val="CADASTRO"/>
      <sheetName val="CAPA"/>
      <sheetName val="DETALHAMENTO DA COBERTURA"/>
      <sheetName val="CONFIGURAÇÃO"/>
      <sheetName val="SOLUÇÕES GSM"/>
      <sheetName val="ESQUEMA GSM"/>
      <sheetName val="FOTOS"/>
      <sheetName val="MAPA COBERTURA INDIVIDUAL 900"/>
      <sheetName val="MAPA COBERTURA INDIVIDUAL 1800"/>
      <sheetName val="MAPA COBERTURA COMPOSTA"/>
      <sheetName val="TESTE PROPAGAÇÃO DRIVE-TEST"/>
      <sheetName val="DETALHAMENTO_DA_COBERTURA"/>
      <sheetName val="SOLUÇÕES_GSM"/>
      <sheetName val="ESQUEMA_GSM"/>
      <sheetName val="MAPA_COBERTURA_INDIVIDUAL_900"/>
      <sheetName val="MAPA_COBERTURA_INDIVIDUAL_1800"/>
      <sheetName val="MAPA_COBERTURA_COMPOSTA"/>
      <sheetName val="TESTE_PROPAGAÇÃO_DRIVE-TEST"/>
      <sheetName val="Input_Table"/>
      <sheetName val="Input Table"/>
    </sheetNames>
    <sheetDataSet>
      <sheetData sheetId="0"/>
      <sheetData sheetId="1">
        <row r="143">
          <cell r="A143" t="str">
            <v>0°</v>
          </cell>
        </row>
        <row r="144">
          <cell r="A144" t="str">
            <v>5°</v>
          </cell>
        </row>
        <row r="145">
          <cell r="A145" t="str">
            <v>10°</v>
          </cell>
        </row>
        <row r="146">
          <cell r="A146" t="str">
            <v>15°</v>
          </cell>
        </row>
        <row r="147">
          <cell r="A147" t="str">
            <v>20°</v>
          </cell>
        </row>
        <row r="148">
          <cell r="A148" t="str">
            <v>25°</v>
          </cell>
        </row>
        <row r="149">
          <cell r="A149" t="str">
            <v>30°</v>
          </cell>
        </row>
        <row r="150">
          <cell r="A150" t="str">
            <v>35°</v>
          </cell>
        </row>
        <row r="151">
          <cell r="A151" t="str">
            <v>40°</v>
          </cell>
        </row>
        <row r="152">
          <cell r="A152" t="str">
            <v>45°</v>
          </cell>
        </row>
        <row r="153">
          <cell r="A153" t="str">
            <v>50°</v>
          </cell>
        </row>
        <row r="154">
          <cell r="A154" t="str">
            <v>55°</v>
          </cell>
        </row>
        <row r="155">
          <cell r="A155" t="str">
            <v>60°</v>
          </cell>
        </row>
        <row r="156">
          <cell r="A156" t="str">
            <v>65°</v>
          </cell>
        </row>
        <row r="157">
          <cell r="A157" t="str">
            <v>70°</v>
          </cell>
        </row>
        <row r="158">
          <cell r="A158" t="str">
            <v>75°</v>
          </cell>
        </row>
        <row r="159">
          <cell r="A159" t="str">
            <v>80°</v>
          </cell>
        </row>
        <row r="160">
          <cell r="A160" t="str">
            <v>85°</v>
          </cell>
        </row>
        <row r="161">
          <cell r="A161" t="str">
            <v>90°</v>
          </cell>
        </row>
        <row r="162">
          <cell r="A162" t="str">
            <v>95°</v>
          </cell>
        </row>
        <row r="163">
          <cell r="A163" t="str">
            <v>100°</v>
          </cell>
        </row>
        <row r="164">
          <cell r="A164" t="str">
            <v>105°</v>
          </cell>
        </row>
        <row r="165">
          <cell r="A165" t="str">
            <v>110°</v>
          </cell>
        </row>
        <row r="166">
          <cell r="A166" t="str">
            <v>115°</v>
          </cell>
        </row>
        <row r="167">
          <cell r="A167" t="str">
            <v>120°</v>
          </cell>
        </row>
        <row r="168">
          <cell r="A168" t="str">
            <v>125°</v>
          </cell>
        </row>
        <row r="169">
          <cell r="A169" t="str">
            <v>130°</v>
          </cell>
        </row>
        <row r="170">
          <cell r="A170" t="str">
            <v>135°</v>
          </cell>
        </row>
        <row r="171">
          <cell r="A171" t="str">
            <v>140°</v>
          </cell>
        </row>
        <row r="172">
          <cell r="A172" t="str">
            <v>145°</v>
          </cell>
        </row>
        <row r="173">
          <cell r="A173" t="str">
            <v>150°</v>
          </cell>
        </row>
        <row r="174">
          <cell r="A174" t="str">
            <v>155°</v>
          </cell>
        </row>
        <row r="175">
          <cell r="A175" t="str">
            <v>160°</v>
          </cell>
        </row>
        <row r="176">
          <cell r="A176" t="str">
            <v>165°</v>
          </cell>
        </row>
        <row r="177">
          <cell r="A177" t="str">
            <v>170°</v>
          </cell>
        </row>
        <row r="178">
          <cell r="A178" t="str">
            <v>175°</v>
          </cell>
        </row>
        <row r="179">
          <cell r="A179" t="str">
            <v>180°</v>
          </cell>
        </row>
        <row r="180">
          <cell r="A180" t="str">
            <v>185°</v>
          </cell>
        </row>
        <row r="181">
          <cell r="A181" t="str">
            <v>190°</v>
          </cell>
        </row>
        <row r="182">
          <cell r="A182" t="str">
            <v>195°</v>
          </cell>
        </row>
        <row r="183">
          <cell r="A183" t="str">
            <v>200°</v>
          </cell>
        </row>
        <row r="184">
          <cell r="A184" t="str">
            <v>205°</v>
          </cell>
        </row>
        <row r="185">
          <cell r="A185" t="str">
            <v>210°</v>
          </cell>
        </row>
        <row r="186">
          <cell r="A186" t="str">
            <v>215°</v>
          </cell>
        </row>
        <row r="187">
          <cell r="A187" t="str">
            <v>220°</v>
          </cell>
        </row>
        <row r="188">
          <cell r="A188" t="str">
            <v>225°</v>
          </cell>
        </row>
        <row r="189">
          <cell r="A189" t="str">
            <v>230°</v>
          </cell>
        </row>
        <row r="190">
          <cell r="A190" t="str">
            <v>235°</v>
          </cell>
        </row>
        <row r="191">
          <cell r="A191" t="str">
            <v>240°</v>
          </cell>
        </row>
        <row r="192">
          <cell r="A192" t="str">
            <v>245°</v>
          </cell>
        </row>
        <row r="193">
          <cell r="A193" t="str">
            <v>250°</v>
          </cell>
        </row>
        <row r="194">
          <cell r="A194" t="str">
            <v>255°</v>
          </cell>
        </row>
        <row r="195">
          <cell r="A195" t="str">
            <v>260°</v>
          </cell>
        </row>
        <row r="196">
          <cell r="A196" t="str">
            <v>265°</v>
          </cell>
        </row>
        <row r="197">
          <cell r="A197" t="str">
            <v>270°</v>
          </cell>
        </row>
        <row r="198">
          <cell r="A198" t="str">
            <v>275°</v>
          </cell>
        </row>
        <row r="199">
          <cell r="A199" t="str">
            <v>280°</v>
          </cell>
        </row>
        <row r="200">
          <cell r="A200" t="str">
            <v>285°</v>
          </cell>
        </row>
        <row r="201">
          <cell r="A201" t="str">
            <v>290°</v>
          </cell>
        </row>
        <row r="202">
          <cell r="A202" t="str">
            <v>295°</v>
          </cell>
        </row>
        <row r="203">
          <cell r="A203" t="str">
            <v>300°</v>
          </cell>
        </row>
        <row r="204">
          <cell r="A204" t="str">
            <v>305°</v>
          </cell>
        </row>
        <row r="205">
          <cell r="A205" t="str">
            <v>310°</v>
          </cell>
        </row>
        <row r="206">
          <cell r="A206" t="str">
            <v>315°</v>
          </cell>
        </row>
        <row r="207">
          <cell r="A207" t="str">
            <v>320°</v>
          </cell>
        </row>
        <row r="208">
          <cell r="A208" t="str">
            <v>325°</v>
          </cell>
        </row>
        <row r="209">
          <cell r="A209" t="str">
            <v>330°</v>
          </cell>
        </row>
        <row r="210">
          <cell r="A210" t="str">
            <v>335°</v>
          </cell>
        </row>
        <row r="211">
          <cell r="A211" t="str">
            <v>340°</v>
          </cell>
        </row>
        <row r="212">
          <cell r="A212" t="str">
            <v>345°</v>
          </cell>
        </row>
        <row r="213">
          <cell r="A213" t="str">
            <v>350°</v>
          </cell>
        </row>
        <row r="214">
          <cell r="A214" t="str">
            <v>355°</v>
          </cell>
        </row>
      </sheetData>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URAÇÃO_TDMA"/>
      <sheetName val="Soluções GSM"/>
      <sheetName val="ESQUEMA_GSM"/>
      <sheetName val="OBSTRUÇÕES"/>
      <sheetName val="2 CANDIDATOS"/>
      <sheetName val="FOTOS"/>
      <sheetName val="CADASTRO"/>
      <sheetName val="Soluções_GSM"/>
      <sheetName val="2_CANDIDATOS"/>
    </sheetNames>
    <sheetDataSet>
      <sheetData sheetId="0" refreshError="1"/>
      <sheetData sheetId="1" refreshError="1"/>
      <sheetData sheetId="2" refreshError="1"/>
      <sheetData sheetId="3" refreshError="1"/>
      <sheetData sheetId="4" refreshError="1"/>
      <sheetData sheetId="5" refreshError="1"/>
      <sheetData sheetId="6" refreshError="1">
        <row r="28">
          <cell r="A28" t="str">
            <v>TERRENO</v>
          </cell>
        </row>
        <row r="29">
          <cell r="A29" t="str">
            <v>TOPO DE PRÉDIO</v>
          </cell>
        </row>
        <row r="30">
          <cell r="A30" t="str">
            <v>INDOOR</v>
          </cell>
        </row>
        <row r="31">
          <cell r="A31" t="str">
            <v>STREET LEVEL</v>
          </cell>
        </row>
      </sheetData>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conformidades"/>
      <sheetName val="Hoja8"/>
      <sheetName val="BD"/>
      <sheetName val="Penalidades RFP"/>
      <sheetName val="Ejm SNC"/>
      <sheetName val="Ejm. Reporte Correccion"/>
    </sheetNames>
    <sheetDataSet>
      <sheetData sheetId="0" refreshError="1"/>
      <sheetData sheetId="1">
        <row r="2">
          <cell r="E2" t="str">
            <v>Pérdida parcial o total del equipamiento asignado. (Ver acápite 5 del presente documento)</v>
          </cell>
        </row>
        <row r="3">
          <cell r="E3" t="str">
            <v>Incumplimiento de procedimientos de acceso a sites de Entel.</v>
          </cell>
        </row>
        <row r="4">
          <cell r="E4" t="str">
            <v>Incumplimiento a la atención de reclamos y no conformidades</v>
          </cell>
        </row>
        <row r="5">
          <cell r="E5" t="str">
            <v>Incumplimiento en completar información de asignaciones sobre herramientas online de gestión end to end de proyectos de ENTEL</v>
          </cell>
        </row>
        <row r="6">
          <cell r="E6" t="str">
            <v>No seguir las políticas, procedimientos y disposiciones de Entel para manejo y almacenaje de equipamiento</v>
          </cell>
        </row>
        <row r="7">
          <cell r="E7" t="str">
            <v>Incumplimiento de procedimientos de acceso a sites de Entel.</v>
          </cell>
        </row>
        <row r="8">
          <cell r="E8" t="str">
            <v>Incumplimiento a la atención de no conformidades.</v>
          </cell>
        </row>
        <row r="9">
          <cell r="E9" t="str">
            <v>Incumplimiento en completar información de asignaciones sobre herramientas online de gestión end to end de proyectos de ENTEL</v>
          </cell>
        </row>
        <row r="10">
          <cell r="E10" t="str">
            <v>Devolución de equipamiento desmontado y/o equipamiento de backup. (equipo que se entrega de forma preventiva para atender el trabajo asignado). El equipamiento debe encontrase limpios y rotulados con el estado de funcionamiento (Operativo o Defectuoso).</v>
          </cell>
        </row>
        <row r="11">
          <cell r="E11" t="str">
            <v>La entrega de información falsa en personal, documentación, acuerdos no éticos, etc</v>
          </cell>
        </row>
      </sheetData>
      <sheetData sheetId="2" refreshError="1"/>
      <sheetData sheetId="3" refreshError="1"/>
      <sheetData sheetId="4"/>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DASTRO"/>
      <sheetName val="CAPA"/>
      <sheetName val="CONFIGURAÇÃO"/>
      <sheetName val="CAPA1"/>
      <sheetName val="CONFIGURAÇÃO_BTS"/>
      <sheetName val="CONFIGURAÇÃO_INDOOR "/>
      <sheetName val="LINK BUDGET BEFORE"/>
      <sheetName val="LINK BUDGET AFTER"/>
      <sheetName val="FOTOS"/>
      <sheetName val="DIAGRAMA UNIFILAR"/>
      <sheetName val="Diagrama Unifilar de Compartilh"/>
      <sheetName val="Walk-Test GSM"/>
      <sheetName val="3° SUBSOLO"/>
      <sheetName val="2° SUBSOLO"/>
      <sheetName val="1° SUBSOLO"/>
      <sheetName val="TÉRREO"/>
      <sheetName val="12° PAV."/>
      <sheetName val="13° PAV."/>
      <sheetName val="14° PAV."/>
      <sheetName val="15° PAV."/>
      <sheetName val="Poço do Elevador"/>
      <sheetName val="TESTE PROPAGAÇÃO"/>
      <sheetName val="MAPA COBERTURA"/>
      <sheetName val="WALK - TEST"/>
      <sheetName val="VSWR"/>
      <sheetName val="CONFIGURAÇÃO_INDOOR_"/>
      <sheetName val="LINK_BUDGET_BEFORE"/>
      <sheetName val="LINK_BUDGET_AFTER"/>
      <sheetName val="DIAGRAMA_UNIFILAR"/>
      <sheetName val="Diagrama_Unifilar_de_Compartilh"/>
      <sheetName val="Walk-Test_GSM"/>
      <sheetName val="3°_SUBSOLO"/>
      <sheetName val="2°_SUBSOLO"/>
      <sheetName val="1°_SUBSOLO"/>
      <sheetName val="12°_PAV_"/>
      <sheetName val="13°_PAV_"/>
      <sheetName val="14°_PAV_"/>
      <sheetName val="15°_PAV_"/>
      <sheetName val="Poço_do_Elevador"/>
      <sheetName val="TESTE_PROPAGAÇÃO"/>
      <sheetName val="MAPA_COBERTURA"/>
      <sheetName val="WALK_-_TEST"/>
    </sheetNames>
    <sheetDataSet>
      <sheetData sheetId="0">
        <row r="2">
          <cell r="E2" t="str">
            <v>Acrelândia</v>
          </cell>
        </row>
        <row r="3">
          <cell r="A3" t="str">
            <v>ATL</v>
          </cell>
          <cell r="E3" t="str">
            <v>Assis Brasil</v>
          </cell>
          <cell r="R3" t="str">
            <v>-</v>
          </cell>
          <cell r="AB3" t="str">
            <v>BS82</v>
          </cell>
          <cell r="AU3" t="str">
            <v>-</v>
          </cell>
        </row>
        <row r="4">
          <cell r="A4" t="str">
            <v>BAHIA &amp; SERGIPE</v>
          </cell>
          <cell r="E4" t="str">
            <v>Brasiléia</v>
          </cell>
          <cell r="R4" t="str">
            <v>PCSD18-06516-2DM</v>
          </cell>
          <cell r="AB4" t="str">
            <v>BS241</v>
          </cell>
          <cell r="AU4" t="str">
            <v>741 571</v>
          </cell>
        </row>
        <row r="5">
          <cell r="A5" t="str">
            <v>SP METRO</v>
          </cell>
          <cell r="E5" t="str">
            <v>Bujari</v>
          </cell>
          <cell r="R5" t="str">
            <v>PCSD18-06516-6DM</v>
          </cell>
          <cell r="AB5" t="str">
            <v>BS241(EDGE)</v>
          </cell>
          <cell r="AU5" t="str">
            <v>741 572</v>
          </cell>
        </row>
        <row r="6">
          <cell r="A6" t="str">
            <v>TESS</v>
          </cell>
          <cell r="E6" t="str">
            <v>Capixaba</v>
          </cell>
          <cell r="R6" t="str">
            <v>PCSD18-06513-0DM</v>
          </cell>
          <cell r="AU6" t="str">
            <v>I-ATP1-800/2500</v>
          </cell>
        </row>
        <row r="7">
          <cell r="A7" t="str">
            <v>CLARO DIGITAL</v>
          </cell>
          <cell r="E7" t="str">
            <v>Cruzeiro do Sul</v>
          </cell>
          <cell r="R7" t="str">
            <v>PCSD18-06513-6DM</v>
          </cell>
          <cell r="AU7" t="str">
            <v xml:space="preserve">I-ATO1-800/2500 </v>
          </cell>
        </row>
        <row r="8">
          <cell r="A8" t="str">
            <v>PARANÁ &amp; SANTA CATARINA</v>
          </cell>
          <cell r="E8" t="str">
            <v>Epitaciolândia</v>
          </cell>
          <cell r="R8" t="str">
            <v>PCSD18-09015-0DM</v>
          </cell>
        </row>
        <row r="9">
          <cell r="A9" t="str">
            <v>AMERICEL</v>
          </cell>
          <cell r="E9" t="e">
            <v>#VALUE!</v>
          </cell>
          <cell r="R9" t="str">
            <v>PCSD18-09015-2DM</v>
          </cell>
        </row>
        <row r="10">
          <cell r="E10" t="str">
            <v>Jordão</v>
          </cell>
          <cell r="R10" t="str">
            <v>PCSD18-09012-0DM</v>
          </cell>
        </row>
        <row r="11">
          <cell r="E11" t="str">
            <v>Mâncio Lima</v>
          </cell>
          <cell r="R11" t="str">
            <v>PCS-XAZ06-0D</v>
          </cell>
        </row>
        <row r="12">
          <cell r="E12" t="str">
            <v>Manoel Urbano</v>
          </cell>
          <cell r="R12">
            <v>739495</v>
          </cell>
        </row>
        <row r="13">
          <cell r="E13" t="str">
            <v>Marechal Thaumaturgo</v>
          </cell>
          <cell r="R13">
            <v>739496</v>
          </cell>
        </row>
        <row r="14">
          <cell r="E14" t="str">
            <v>Plácido de Castro</v>
          </cell>
          <cell r="R14">
            <v>739490</v>
          </cell>
        </row>
        <row r="15">
          <cell r="E15" t="str">
            <v>Porto Acre</v>
          </cell>
          <cell r="R15">
            <v>739491</v>
          </cell>
        </row>
        <row r="16">
          <cell r="E16" t="str">
            <v>Porto Walter</v>
          </cell>
          <cell r="R16">
            <v>739707</v>
          </cell>
        </row>
        <row r="17">
          <cell r="E17" t="str">
            <v>Rio Branco</v>
          </cell>
          <cell r="R17">
            <v>739698</v>
          </cell>
        </row>
        <row r="18">
          <cell r="E18" t="str">
            <v>Rodrigues Alves</v>
          </cell>
          <cell r="R18">
            <v>741214</v>
          </cell>
        </row>
        <row r="19">
          <cell r="E19" t="str">
            <v>Santa Rosa do Purus</v>
          </cell>
          <cell r="R19">
            <v>731623</v>
          </cell>
        </row>
        <row r="20">
          <cell r="E20" t="str">
            <v>Sena Madureira</v>
          </cell>
          <cell r="R20">
            <v>739134</v>
          </cell>
        </row>
        <row r="21">
          <cell r="E21" t="str">
            <v>Senador Guiomard</v>
          </cell>
          <cell r="R21" t="str">
            <v>APX186515-T2</v>
          </cell>
        </row>
        <row r="22">
          <cell r="E22" t="str">
            <v>Tarauacá</v>
          </cell>
          <cell r="R22" t="str">
            <v>APX186515-T6</v>
          </cell>
        </row>
        <row r="23">
          <cell r="E23" t="str">
            <v>Xapuri</v>
          </cell>
          <cell r="R23" t="str">
            <v>APX186513-T0</v>
          </cell>
        </row>
        <row r="24">
          <cell r="R24" t="str">
            <v>APX189014-T2</v>
          </cell>
        </row>
        <row r="25">
          <cell r="R25" t="str">
            <v>FR65-17-00DC</v>
          </cell>
        </row>
        <row r="26">
          <cell r="R26" t="str">
            <v>FR65-17-02DC</v>
          </cell>
        </row>
        <row r="27">
          <cell r="E27" t="str">
            <v>Abaíra</v>
          </cell>
          <cell r="R27" t="str">
            <v>FR90-16-00DC</v>
          </cell>
        </row>
        <row r="28">
          <cell r="E28" t="str">
            <v>Abaré</v>
          </cell>
          <cell r="R28" t="str">
            <v>FR90-16-02DC</v>
          </cell>
        </row>
        <row r="29">
          <cell r="E29" t="str">
            <v>Acajutiba</v>
          </cell>
          <cell r="R29" t="str">
            <v>FV65-17-00DC</v>
          </cell>
        </row>
        <row r="30">
          <cell r="E30" t="str">
            <v>Adustina</v>
          </cell>
          <cell r="R30" t="str">
            <v>FV65-17-02DC</v>
          </cell>
        </row>
        <row r="31">
          <cell r="E31" t="str">
            <v>Água Fria</v>
          </cell>
          <cell r="R31" t="str">
            <v>FV90-16-00DC</v>
          </cell>
        </row>
        <row r="32">
          <cell r="E32" t="str">
            <v>Aiquara</v>
          </cell>
          <cell r="R32" t="str">
            <v>FV90-16-02DC</v>
          </cell>
        </row>
        <row r="33">
          <cell r="E33" t="str">
            <v>Alagoinhas</v>
          </cell>
          <cell r="R33" t="str">
            <v>RR65-18-00DC</v>
          </cell>
        </row>
        <row r="34">
          <cell r="E34" t="str">
            <v>Alcobaça</v>
          </cell>
          <cell r="R34" t="str">
            <v>RR65-18-02DC</v>
          </cell>
        </row>
        <row r="35">
          <cell r="E35" t="str">
            <v>Almadina</v>
          </cell>
          <cell r="R35" t="str">
            <v>RR65-18-04DC</v>
          </cell>
        </row>
        <row r="36">
          <cell r="E36" t="str">
            <v>Amargosa</v>
          </cell>
          <cell r="R36" t="str">
            <v>RR65-18-06DC</v>
          </cell>
        </row>
        <row r="37">
          <cell r="E37" t="str">
            <v>Amélia Rodrigues</v>
          </cell>
          <cell r="R37" t="str">
            <v>RR90-17-00DC</v>
          </cell>
        </row>
        <row r="38">
          <cell r="E38" t="str">
            <v>América Dourada</v>
          </cell>
          <cell r="R38" t="str">
            <v>RR90-17-02DC</v>
          </cell>
        </row>
        <row r="39">
          <cell r="E39" t="str">
            <v>Anagé</v>
          </cell>
          <cell r="R39" t="str">
            <v>RR90-17-04DC</v>
          </cell>
        </row>
        <row r="40">
          <cell r="E40" t="str">
            <v>Andaraí</v>
          </cell>
          <cell r="R40" t="str">
            <v>RR90-17-06DC</v>
          </cell>
        </row>
        <row r="41">
          <cell r="E41" t="str">
            <v>Andorinha</v>
          </cell>
        </row>
        <row r="42">
          <cell r="E42" t="str">
            <v>Angical</v>
          </cell>
        </row>
        <row r="43">
          <cell r="E43" t="str">
            <v>Anguera</v>
          </cell>
        </row>
        <row r="44">
          <cell r="E44" t="str">
            <v>Antas</v>
          </cell>
        </row>
        <row r="45">
          <cell r="E45" t="str">
            <v>Antônio Cardoso</v>
          </cell>
        </row>
        <row r="46">
          <cell r="E46" t="str">
            <v>Antônio Gonçalves</v>
          </cell>
        </row>
        <row r="47">
          <cell r="E47" t="str">
            <v>Aporá</v>
          </cell>
        </row>
        <row r="48">
          <cell r="E48" t="str">
            <v>Apuarema</v>
          </cell>
        </row>
        <row r="49">
          <cell r="E49" t="str">
            <v>Araças</v>
          </cell>
        </row>
        <row r="50">
          <cell r="E50" t="str">
            <v>Aracatu</v>
          </cell>
        </row>
        <row r="51">
          <cell r="E51" t="str">
            <v>Araci</v>
          </cell>
        </row>
        <row r="52">
          <cell r="E52" t="str">
            <v>Aramari</v>
          </cell>
          <cell r="O52" t="str">
            <v>BSC_CLA_01</v>
          </cell>
        </row>
        <row r="53">
          <cell r="E53" t="str">
            <v>Arataca</v>
          </cell>
          <cell r="O53" t="str">
            <v>BSC_CLA_02</v>
          </cell>
        </row>
        <row r="54">
          <cell r="E54" t="str">
            <v>Aratuípe</v>
          </cell>
          <cell r="O54" t="str">
            <v>BSC_CLA_03</v>
          </cell>
        </row>
        <row r="55">
          <cell r="E55" t="str">
            <v>Aurelino Leal</v>
          </cell>
          <cell r="O55" t="str">
            <v>BSC_CLA_04</v>
          </cell>
        </row>
        <row r="56">
          <cell r="E56" t="str">
            <v>Baianópolis</v>
          </cell>
          <cell r="O56" t="str">
            <v>BSC_CLA_05</v>
          </cell>
        </row>
        <row r="57">
          <cell r="E57" t="str">
            <v>Baixa Grande</v>
          </cell>
          <cell r="O57" t="str">
            <v>BSC_CLA_06</v>
          </cell>
        </row>
        <row r="58">
          <cell r="E58" t="str">
            <v>Banzaê</v>
          </cell>
          <cell r="O58" t="str">
            <v>BSC_CLA_07</v>
          </cell>
        </row>
        <row r="59">
          <cell r="E59" t="str">
            <v>Barra</v>
          </cell>
          <cell r="O59" t="str">
            <v>BSC_CLA_08</v>
          </cell>
        </row>
        <row r="60">
          <cell r="E60" t="str">
            <v>Barra da Estiva</v>
          </cell>
          <cell r="O60" t="str">
            <v>BSC_CLA_09</v>
          </cell>
        </row>
        <row r="61">
          <cell r="E61" t="str">
            <v>Barra do Choça</v>
          </cell>
        </row>
        <row r="62">
          <cell r="E62" t="str">
            <v>Barra do Mendes</v>
          </cell>
        </row>
        <row r="63">
          <cell r="E63" t="str">
            <v>Barra do Rocha</v>
          </cell>
        </row>
        <row r="64">
          <cell r="E64" t="str">
            <v>Barreiras</v>
          </cell>
        </row>
        <row r="65">
          <cell r="E65" t="str">
            <v>Barro Alto</v>
          </cell>
        </row>
        <row r="66">
          <cell r="E66" t="str">
            <v>Barro Preto</v>
          </cell>
        </row>
        <row r="67">
          <cell r="E67" t="str">
            <v>Belmonte</v>
          </cell>
        </row>
        <row r="68">
          <cell r="E68" t="str">
            <v>Belo Campo</v>
          </cell>
        </row>
        <row r="69">
          <cell r="E69" t="str">
            <v>Biritinga</v>
          </cell>
        </row>
        <row r="70">
          <cell r="E70" t="str">
            <v>Boa Nova</v>
          </cell>
        </row>
        <row r="71">
          <cell r="E71" t="str">
            <v>Boa Vista do Tupim</v>
          </cell>
        </row>
        <row r="72">
          <cell r="E72" t="str">
            <v>Bom Jesus da Lapa</v>
          </cell>
        </row>
        <row r="73">
          <cell r="E73" t="str">
            <v>Bom Jesus da Serra</v>
          </cell>
        </row>
        <row r="74">
          <cell r="E74" t="str">
            <v>Boninal</v>
          </cell>
        </row>
        <row r="75">
          <cell r="E75" t="str">
            <v>Bonito</v>
          </cell>
        </row>
        <row r="76">
          <cell r="E76" t="str">
            <v>Boquira</v>
          </cell>
        </row>
        <row r="77">
          <cell r="E77" t="str">
            <v>Botuporã</v>
          </cell>
        </row>
        <row r="78">
          <cell r="E78" t="str">
            <v>Brejões</v>
          </cell>
        </row>
        <row r="79">
          <cell r="E79" t="str">
            <v>Brejolândia</v>
          </cell>
        </row>
        <row r="80">
          <cell r="E80" t="str">
            <v>Brotas de Macaúbas</v>
          </cell>
        </row>
        <row r="81">
          <cell r="E81" t="str">
            <v>Brumado</v>
          </cell>
        </row>
        <row r="82">
          <cell r="E82" t="str">
            <v>Buerarema</v>
          </cell>
        </row>
        <row r="83">
          <cell r="E83" t="str">
            <v>Buritirama</v>
          </cell>
        </row>
        <row r="84">
          <cell r="E84" t="str">
            <v>Caatiba</v>
          </cell>
        </row>
        <row r="85">
          <cell r="E85" t="str">
            <v>Cabaceiras do Paraguaçu</v>
          </cell>
        </row>
        <row r="86">
          <cell r="E86" t="str">
            <v>Cachoeira</v>
          </cell>
        </row>
        <row r="87">
          <cell r="E87" t="str">
            <v>Caculé</v>
          </cell>
        </row>
        <row r="88">
          <cell r="E88" t="str">
            <v>Caém</v>
          </cell>
        </row>
        <row r="89">
          <cell r="E89" t="str">
            <v>Caetanos</v>
          </cell>
        </row>
        <row r="90">
          <cell r="E90" t="str">
            <v>Caetité</v>
          </cell>
        </row>
        <row r="91">
          <cell r="E91" t="str">
            <v>Cafarnaum</v>
          </cell>
        </row>
        <row r="92">
          <cell r="E92" t="str">
            <v>Cairu</v>
          </cell>
        </row>
        <row r="93">
          <cell r="E93" t="str">
            <v>Caldeirão Grande</v>
          </cell>
        </row>
        <row r="94">
          <cell r="E94" t="str">
            <v>Camacan</v>
          </cell>
        </row>
        <row r="95">
          <cell r="E95" t="str">
            <v>Camaçari</v>
          </cell>
        </row>
        <row r="96">
          <cell r="E96" t="str">
            <v>Camamu</v>
          </cell>
        </row>
        <row r="97">
          <cell r="E97" t="str">
            <v>Campo Alegre de Lourdes</v>
          </cell>
        </row>
        <row r="98">
          <cell r="E98" t="str">
            <v>Campo Formoso</v>
          </cell>
        </row>
        <row r="99">
          <cell r="E99" t="str">
            <v>Canápolis</v>
          </cell>
        </row>
        <row r="100">
          <cell r="E100" t="str">
            <v>Canarana</v>
          </cell>
        </row>
        <row r="101">
          <cell r="E101" t="str">
            <v>Canavieiras</v>
          </cell>
        </row>
        <row r="102">
          <cell r="E102" t="str">
            <v>Candeal</v>
          </cell>
        </row>
        <row r="103">
          <cell r="E103" t="str">
            <v>Candeias</v>
          </cell>
        </row>
        <row r="104">
          <cell r="E104" t="str">
            <v>Candiba</v>
          </cell>
        </row>
        <row r="105">
          <cell r="E105" t="str">
            <v>Cândido Sales</v>
          </cell>
        </row>
        <row r="106">
          <cell r="E106" t="str">
            <v>Cansanção</v>
          </cell>
        </row>
        <row r="107">
          <cell r="E107" t="str">
            <v>Canudos</v>
          </cell>
        </row>
        <row r="108">
          <cell r="E108" t="str">
            <v>Capela do Alto Alegre</v>
          </cell>
        </row>
        <row r="109">
          <cell r="E109" t="str">
            <v>Capim Grosso</v>
          </cell>
        </row>
        <row r="110">
          <cell r="E110" t="str">
            <v>Caraíbas</v>
          </cell>
        </row>
        <row r="111">
          <cell r="E111" t="str">
            <v>Caravelas</v>
          </cell>
        </row>
        <row r="112">
          <cell r="E112" t="str">
            <v>Cardeal da Silva</v>
          </cell>
        </row>
        <row r="113">
          <cell r="E113" t="str">
            <v>Carinhanha</v>
          </cell>
        </row>
        <row r="114">
          <cell r="E114" t="str">
            <v>Casa Nova</v>
          </cell>
        </row>
        <row r="115">
          <cell r="E115" t="str">
            <v>Castro Alves</v>
          </cell>
        </row>
        <row r="116">
          <cell r="E116" t="str">
            <v>Catolândia</v>
          </cell>
        </row>
        <row r="117">
          <cell r="E117" t="str">
            <v>Catu</v>
          </cell>
        </row>
        <row r="118">
          <cell r="E118" t="str">
            <v>Caturama</v>
          </cell>
        </row>
        <row r="119">
          <cell r="E119" t="str">
            <v>Central</v>
          </cell>
        </row>
        <row r="120">
          <cell r="E120" t="str">
            <v>Chorrochó</v>
          </cell>
        </row>
        <row r="121">
          <cell r="E121" t="str">
            <v>Cícero Dantas</v>
          </cell>
        </row>
        <row r="122">
          <cell r="E122" t="str">
            <v>Cipó</v>
          </cell>
        </row>
        <row r="123">
          <cell r="E123" t="str">
            <v>Coaraci</v>
          </cell>
        </row>
        <row r="124">
          <cell r="E124" t="str">
            <v>Cocos</v>
          </cell>
        </row>
        <row r="125">
          <cell r="E125" t="str">
            <v>Conceição da Feira</v>
          </cell>
        </row>
        <row r="126">
          <cell r="E126" t="str">
            <v>Conceição do Almeida</v>
          </cell>
        </row>
        <row r="127">
          <cell r="E127" t="str">
            <v>Conceição do Coité</v>
          </cell>
        </row>
        <row r="128">
          <cell r="E128" t="str">
            <v>Conceição do Jacuípe</v>
          </cell>
        </row>
        <row r="129">
          <cell r="E129" t="str">
            <v>Conde</v>
          </cell>
        </row>
        <row r="130">
          <cell r="E130" t="str">
            <v>Condeúba</v>
          </cell>
        </row>
        <row r="131">
          <cell r="E131" t="str">
            <v>Contendas do Sincorá</v>
          </cell>
        </row>
        <row r="132">
          <cell r="E132" t="str">
            <v>Coração de Maria</v>
          </cell>
        </row>
        <row r="133">
          <cell r="E133" t="str">
            <v>Cordeiros</v>
          </cell>
        </row>
        <row r="134">
          <cell r="E134" t="str">
            <v>Coribe</v>
          </cell>
        </row>
        <row r="135">
          <cell r="E135" t="str">
            <v>Coronel João Sá</v>
          </cell>
        </row>
        <row r="136">
          <cell r="E136" t="str">
            <v>Correntina</v>
          </cell>
        </row>
        <row r="137">
          <cell r="E137" t="str">
            <v>Cotegipe</v>
          </cell>
        </row>
        <row r="138">
          <cell r="E138" t="str">
            <v>Cravolândia</v>
          </cell>
        </row>
        <row r="139">
          <cell r="E139" t="str">
            <v>Crisópolis</v>
          </cell>
        </row>
        <row r="140">
          <cell r="E140" t="str">
            <v>Cristópolis</v>
          </cell>
        </row>
        <row r="141">
          <cell r="E141" t="str">
            <v>Cruz das Almas</v>
          </cell>
        </row>
        <row r="142">
          <cell r="E142" t="str">
            <v>Curaçá</v>
          </cell>
        </row>
        <row r="143">
          <cell r="E143" t="str">
            <v>Dário Meira</v>
          </cell>
        </row>
        <row r="144">
          <cell r="E144" t="str">
            <v>Dias d'Ávila</v>
          </cell>
        </row>
        <row r="145">
          <cell r="E145" t="str">
            <v>Dom Basílio</v>
          </cell>
        </row>
        <row r="146">
          <cell r="E146" t="str">
            <v>Dom Macedo Costa</v>
          </cell>
        </row>
        <row r="147">
          <cell r="E147" t="str">
            <v>Elísio Medrado</v>
          </cell>
        </row>
        <row r="148">
          <cell r="E148" t="str">
            <v>Encruzilhada</v>
          </cell>
        </row>
        <row r="149">
          <cell r="E149" t="str">
            <v>Entre Rios</v>
          </cell>
        </row>
        <row r="150">
          <cell r="E150" t="str">
            <v>Érico Cardoso</v>
          </cell>
        </row>
        <row r="151">
          <cell r="E151" t="str">
            <v>Esplanada</v>
          </cell>
        </row>
        <row r="152">
          <cell r="E152" t="str">
            <v>Euclides da Cunha</v>
          </cell>
        </row>
        <row r="153">
          <cell r="E153" t="str">
            <v>Eunápolis</v>
          </cell>
        </row>
        <row r="154">
          <cell r="E154" t="str">
            <v>Fátima</v>
          </cell>
        </row>
        <row r="155">
          <cell r="E155" t="str">
            <v>Feira da Mata</v>
          </cell>
        </row>
        <row r="156">
          <cell r="E156" t="str">
            <v>Feira de Santana</v>
          </cell>
        </row>
        <row r="157">
          <cell r="E157" t="str">
            <v>Filadélfia</v>
          </cell>
        </row>
        <row r="158">
          <cell r="E158" t="str">
            <v>Firmino Alves</v>
          </cell>
        </row>
        <row r="159">
          <cell r="E159" t="str">
            <v>Floresta Azul</v>
          </cell>
        </row>
        <row r="160">
          <cell r="E160" t="str">
            <v>Formosa do Rio Preto</v>
          </cell>
        </row>
        <row r="161">
          <cell r="E161" t="str">
            <v>Gandu</v>
          </cell>
        </row>
        <row r="162">
          <cell r="E162" t="str">
            <v>Gavião</v>
          </cell>
        </row>
        <row r="163">
          <cell r="E163" t="str">
            <v>Gentio do Ouro</v>
          </cell>
        </row>
        <row r="164">
          <cell r="E164" t="str">
            <v>Glória</v>
          </cell>
        </row>
        <row r="165">
          <cell r="E165" t="str">
            <v>Gongogi</v>
          </cell>
        </row>
        <row r="166">
          <cell r="E166" t="str">
            <v>Governador Mangabeira</v>
          </cell>
        </row>
        <row r="167">
          <cell r="E167" t="str">
            <v>Guajeru</v>
          </cell>
        </row>
        <row r="168">
          <cell r="E168" t="str">
            <v>Guanambi</v>
          </cell>
        </row>
        <row r="169">
          <cell r="E169" t="str">
            <v>Guaratinga</v>
          </cell>
        </row>
        <row r="170">
          <cell r="E170" t="str">
            <v>Heliópolis</v>
          </cell>
        </row>
        <row r="171">
          <cell r="E171" t="str">
            <v>Iaçu</v>
          </cell>
        </row>
        <row r="172">
          <cell r="E172" t="str">
            <v>Ibiassucê</v>
          </cell>
        </row>
        <row r="173">
          <cell r="E173" t="str">
            <v>Ibicaraí</v>
          </cell>
        </row>
        <row r="174">
          <cell r="E174" t="str">
            <v>Ibicoara</v>
          </cell>
        </row>
        <row r="175">
          <cell r="E175" t="str">
            <v>Ibicuí</v>
          </cell>
        </row>
        <row r="176">
          <cell r="E176" t="str">
            <v>Ibipeba</v>
          </cell>
        </row>
        <row r="177">
          <cell r="E177" t="str">
            <v>Ibipitanga</v>
          </cell>
        </row>
        <row r="178">
          <cell r="E178" t="str">
            <v>Ibiquera</v>
          </cell>
        </row>
        <row r="179">
          <cell r="E179" t="str">
            <v>Ibirapitanga</v>
          </cell>
        </row>
        <row r="180">
          <cell r="E180" t="str">
            <v>Ibirapuã</v>
          </cell>
        </row>
        <row r="181">
          <cell r="E181" t="str">
            <v>Ibirataia</v>
          </cell>
        </row>
        <row r="182">
          <cell r="E182" t="str">
            <v>Ibitiara</v>
          </cell>
        </row>
        <row r="183">
          <cell r="E183" t="str">
            <v>Ibititá</v>
          </cell>
        </row>
        <row r="184">
          <cell r="E184" t="str">
            <v>Ibotirama</v>
          </cell>
        </row>
        <row r="185">
          <cell r="E185" t="str">
            <v>Ichu</v>
          </cell>
        </row>
        <row r="186">
          <cell r="E186" t="str">
            <v>Igaporã</v>
          </cell>
        </row>
        <row r="187">
          <cell r="E187" t="str">
            <v>Igrapiúna</v>
          </cell>
        </row>
        <row r="188">
          <cell r="E188" t="str">
            <v>Iguaí</v>
          </cell>
        </row>
        <row r="189">
          <cell r="E189" t="str">
            <v>Ilhéus</v>
          </cell>
        </row>
        <row r="190">
          <cell r="E190" t="str">
            <v>Inhambupe</v>
          </cell>
        </row>
        <row r="191">
          <cell r="E191" t="str">
            <v>Ipecaetá</v>
          </cell>
        </row>
        <row r="192">
          <cell r="E192" t="str">
            <v>Ipiaú</v>
          </cell>
        </row>
        <row r="193">
          <cell r="E193" t="str">
            <v>Ipirá</v>
          </cell>
        </row>
        <row r="194">
          <cell r="E194" t="str">
            <v>Ipupiara</v>
          </cell>
        </row>
        <row r="195">
          <cell r="E195" t="str">
            <v>Irajuba</v>
          </cell>
        </row>
        <row r="196">
          <cell r="E196" t="str">
            <v>Iramaia</v>
          </cell>
        </row>
        <row r="197">
          <cell r="E197" t="str">
            <v>Iraquara</v>
          </cell>
        </row>
        <row r="198">
          <cell r="E198" t="str">
            <v>Irará</v>
          </cell>
        </row>
        <row r="199">
          <cell r="E199" t="str">
            <v>Irecê</v>
          </cell>
        </row>
        <row r="200">
          <cell r="E200" t="str">
            <v>Itabela</v>
          </cell>
        </row>
        <row r="201">
          <cell r="E201" t="str">
            <v>Itaberaba</v>
          </cell>
        </row>
        <row r="202">
          <cell r="E202" t="str">
            <v>Itabuna</v>
          </cell>
        </row>
        <row r="203">
          <cell r="E203" t="str">
            <v>Itacaré</v>
          </cell>
        </row>
        <row r="204">
          <cell r="E204" t="str">
            <v>Itaeté</v>
          </cell>
        </row>
        <row r="205">
          <cell r="E205" t="str">
            <v>Itagi</v>
          </cell>
        </row>
        <row r="206">
          <cell r="E206" t="str">
            <v>Itagibá</v>
          </cell>
        </row>
        <row r="207">
          <cell r="E207" t="str">
            <v>Itagimirim</v>
          </cell>
        </row>
        <row r="208">
          <cell r="E208" t="str">
            <v>Itaguaçu da Bahia</v>
          </cell>
        </row>
        <row r="209">
          <cell r="E209" t="str">
            <v>Itaju do Colônia</v>
          </cell>
        </row>
        <row r="210">
          <cell r="E210" t="str">
            <v>Itajuípe</v>
          </cell>
        </row>
        <row r="211">
          <cell r="E211" t="str">
            <v>Itamaraju</v>
          </cell>
        </row>
        <row r="212">
          <cell r="E212" t="str">
            <v>Itamari</v>
          </cell>
        </row>
        <row r="213">
          <cell r="E213" t="str">
            <v>Itambé</v>
          </cell>
        </row>
        <row r="214">
          <cell r="E214" t="str">
            <v>Itanagra</v>
          </cell>
        </row>
        <row r="215">
          <cell r="E215" t="str">
            <v>Itanhém</v>
          </cell>
        </row>
        <row r="216">
          <cell r="E216" t="str">
            <v>Itaparica</v>
          </cell>
        </row>
        <row r="217">
          <cell r="E217" t="str">
            <v>Itapé</v>
          </cell>
        </row>
        <row r="218">
          <cell r="E218" t="str">
            <v>Itapebi</v>
          </cell>
        </row>
        <row r="219">
          <cell r="E219" t="str">
            <v>Itapetinga</v>
          </cell>
        </row>
        <row r="220">
          <cell r="E220" t="str">
            <v>Itapicuru</v>
          </cell>
        </row>
        <row r="221">
          <cell r="E221" t="str">
            <v>Itapitanga</v>
          </cell>
        </row>
        <row r="222">
          <cell r="E222" t="str">
            <v>Itaquara</v>
          </cell>
        </row>
        <row r="223">
          <cell r="E223" t="str">
            <v>Itarantim</v>
          </cell>
        </row>
        <row r="224">
          <cell r="E224" t="str">
            <v>Itatim</v>
          </cell>
        </row>
        <row r="225">
          <cell r="E225" t="str">
            <v>Itiruçu</v>
          </cell>
        </row>
        <row r="226">
          <cell r="E226" t="str">
            <v>Itiúba</v>
          </cell>
        </row>
        <row r="227">
          <cell r="E227" t="str">
            <v>Itororó</v>
          </cell>
        </row>
        <row r="228">
          <cell r="E228" t="str">
            <v>Ituaçu</v>
          </cell>
        </row>
        <row r="229">
          <cell r="E229" t="str">
            <v>Ituberá</v>
          </cell>
        </row>
        <row r="230">
          <cell r="E230" t="str">
            <v>Iuiú</v>
          </cell>
        </row>
        <row r="231">
          <cell r="E231" t="str">
            <v>Jaborandi</v>
          </cell>
        </row>
        <row r="232">
          <cell r="E232" t="str">
            <v>Jacaraci</v>
          </cell>
        </row>
        <row r="233">
          <cell r="E233" t="str">
            <v>Jacobina</v>
          </cell>
        </row>
        <row r="234">
          <cell r="E234" t="str">
            <v>Jaguaquara</v>
          </cell>
        </row>
        <row r="235">
          <cell r="E235" t="str">
            <v>Jaguarari</v>
          </cell>
        </row>
        <row r="236">
          <cell r="E236" t="str">
            <v>Jaguaripe</v>
          </cell>
        </row>
        <row r="237">
          <cell r="E237" t="str">
            <v>Jandaíra</v>
          </cell>
        </row>
        <row r="238">
          <cell r="E238" t="str">
            <v>Jequié</v>
          </cell>
        </row>
        <row r="239">
          <cell r="E239" t="str">
            <v>Jeremoabo</v>
          </cell>
        </row>
        <row r="240">
          <cell r="E240" t="str">
            <v>Jiquiriçá</v>
          </cell>
        </row>
        <row r="241">
          <cell r="E241" t="str">
            <v>Jitaúna</v>
          </cell>
        </row>
        <row r="242">
          <cell r="E242" t="str">
            <v>João Dourado</v>
          </cell>
        </row>
        <row r="243">
          <cell r="E243" t="str">
            <v>Juazeiro</v>
          </cell>
        </row>
        <row r="244">
          <cell r="E244" t="str">
            <v>Jucuruçu</v>
          </cell>
        </row>
        <row r="245">
          <cell r="E245" t="str">
            <v>Jussara</v>
          </cell>
        </row>
        <row r="246">
          <cell r="E246" t="str">
            <v>Jussari</v>
          </cell>
        </row>
        <row r="247">
          <cell r="E247" t="str">
            <v>Jussiape</v>
          </cell>
        </row>
        <row r="248">
          <cell r="E248" t="str">
            <v>Lafaiete Coutinho</v>
          </cell>
        </row>
        <row r="249">
          <cell r="E249" t="str">
            <v>Lagoa Real</v>
          </cell>
        </row>
        <row r="250">
          <cell r="E250" t="str">
            <v>Laje</v>
          </cell>
        </row>
        <row r="251">
          <cell r="E251" t="str">
            <v>Lajedão</v>
          </cell>
        </row>
        <row r="252">
          <cell r="E252" t="str">
            <v>Lajedinho</v>
          </cell>
        </row>
        <row r="253">
          <cell r="E253" t="str">
            <v>Lajedo do Tabocal</v>
          </cell>
        </row>
        <row r="254">
          <cell r="E254" t="str">
            <v>Lamarão</v>
          </cell>
        </row>
        <row r="255">
          <cell r="E255" t="str">
            <v>Lapão</v>
          </cell>
        </row>
        <row r="256">
          <cell r="E256" t="str">
            <v>Lauro de Freitas</v>
          </cell>
        </row>
        <row r="257">
          <cell r="E257" t="str">
            <v>Lençóis</v>
          </cell>
        </row>
        <row r="258">
          <cell r="E258" t="str">
            <v>Licínio de Almeida</v>
          </cell>
        </row>
        <row r="259">
          <cell r="E259" t="str">
            <v>Livramento de Nossa Senhora</v>
          </cell>
        </row>
        <row r="260">
          <cell r="E260" t="str">
            <v>Macajuba</v>
          </cell>
        </row>
        <row r="261">
          <cell r="E261" t="str">
            <v>Macarani</v>
          </cell>
        </row>
        <row r="262">
          <cell r="E262" t="str">
            <v>Macaúbas</v>
          </cell>
        </row>
        <row r="263">
          <cell r="E263" t="str">
            <v>Macururé</v>
          </cell>
        </row>
        <row r="264">
          <cell r="E264" t="str">
            <v>Madre de Deus</v>
          </cell>
        </row>
        <row r="265">
          <cell r="E265" t="str">
            <v>Maetinga</v>
          </cell>
        </row>
        <row r="266">
          <cell r="E266" t="str">
            <v>Maiquinique</v>
          </cell>
        </row>
        <row r="267">
          <cell r="E267" t="str">
            <v>Mairi</v>
          </cell>
        </row>
        <row r="268">
          <cell r="E268" t="str">
            <v>Malhada</v>
          </cell>
        </row>
        <row r="269">
          <cell r="E269" t="str">
            <v>Malhada de Pedras</v>
          </cell>
        </row>
        <row r="270">
          <cell r="E270" t="str">
            <v>Manoel Vitorino</v>
          </cell>
        </row>
        <row r="271">
          <cell r="E271" t="str">
            <v>Mansidão</v>
          </cell>
        </row>
        <row r="272">
          <cell r="E272" t="str">
            <v>Maracás</v>
          </cell>
        </row>
        <row r="273">
          <cell r="E273" t="str">
            <v>Maragogipe</v>
          </cell>
        </row>
        <row r="274">
          <cell r="E274" t="str">
            <v>Maraú</v>
          </cell>
        </row>
        <row r="275">
          <cell r="E275" t="str">
            <v>Marcionílio Souza</v>
          </cell>
        </row>
        <row r="276">
          <cell r="E276" t="str">
            <v>Mascote</v>
          </cell>
        </row>
        <row r="277">
          <cell r="E277" t="str">
            <v>Mata de São João</v>
          </cell>
        </row>
        <row r="278">
          <cell r="E278" t="str">
            <v>Matina</v>
          </cell>
        </row>
        <row r="279">
          <cell r="E279" t="str">
            <v>Medeiros Neto</v>
          </cell>
        </row>
        <row r="280">
          <cell r="E280" t="str">
            <v>Miguel Calmon</v>
          </cell>
        </row>
        <row r="281">
          <cell r="E281" t="str">
            <v>Milagres</v>
          </cell>
        </row>
        <row r="282">
          <cell r="E282" t="str">
            <v>Mirangaba</v>
          </cell>
        </row>
        <row r="283">
          <cell r="E283" t="str">
            <v>Mirante</v>
          </cell>
        </row>
        <row r="284">
          <cell r="E284" t="str">
            <v>Monte Santo</v>
          </cell>
        </row>
        <row r="285">
          <cell r="E285" t="str">
            <v>Morpará</v>
          </cell>
        </row>
        <row r="286">
          <cell r="E286" t="str">
            <v>Morro do Chapéu</v>
          </cell>
        </row>
        <row r="287">
          <cell r="E287" t="str">
            <v>Mortugaba</v>
          </cell>
        </row>
        <row r="288">
          <cell r="E288" t="str">
            <v>Mucugê</v>
          </cell>
        </row>
        <row r="289">
          <cell r="E289" t="str">
            <v>Mucuri</v>
          </cell>
        </row>
        <row r="290">
          <cell r="E290" t="str">
            <v>Mulungu do Morro</v>
          </cell>
        </row>
        <row r="291">
          <cell r="E291" t="str">
            <v>Mundo Novo</v>
          </cell>
        </row>
        <row r="292">
          <cell r="E292" t="str">
            <v>Muniz Ferreira</v>
          </cell>
        </row>
        <row r="293">
          <cell r="E293" t="str">
            <v>Muquém de São Francisco</v>
          </cell>
        </row>
        <row r="294">
          <cell r="E294" t="str">
            <v>Muritiba</v>
          </cell>
        </row>
        <row r="295">
          <cell r="E295" t="str">
            <v>Mutuípe</v>
          </cell>
        </row>
        <row r="296">
          <cell r="E296" t="str">
            <v>Nazaré</v>
          </cell>
        </row>
        <row r="297">
          <cell r="E297" t="str">
            <v>Nilo Peçanha</v>
          </cell>
        </row>
        <row r="298">
          <cell r="E298" t="str">
            <v>Nordestina</v>
          </cell>
        </row>
        <row r="299">
          <cell r="E299" t="str">
            <v>Nova Canaã</v>
          </cell>
        </row>
        <row r="300">
          <cell r="E300" t="str">
            <v>Nova Fátima</v>
          </cell>
        </row>
        <row r="301">
          <cell r="E301" t="str">
            <v>Nova Ibiá</v>
          </cell>
        </row>
        <row r="302">
          <cell r="E302" t="str">
            <v>Nova Itarana</v>
          </cell>
        </row>
        <row r="303">
          <cell r="E303" t="str">
            <v>Nova Redenção</v>
          </cell>
        </row>
        <row r="304">
          <cell r="E304" t="str">
            <v>Nova Soure</v>
          </cell>
        </row>
        <row r="305">
          <cell r="E305" t="str">
            <v>Nova Viçosa</v>
          </cell>
        </row>
        <row r="306">
          <cell r="E306" t="str">
            <v>Novo Horizonte</v>
          </cell>
        </row>
        <row r="307">
          <cell r="E307" t="str">
            <v>Novo Triunfo</v>
          </cell>
        </row>
        <row r="308">
          <cell r="E308" t="str">
            <v>Olindina</v>
          </cell>
        </row>
        <row r="309">
          <cell r="E309" t="str">
            <v>Oliveira dos Brejinhos</v>
          </cell>
        </row>
        <row r="310">
          <cell r="E310" t="str">
            <v>Ouriçangas</v>
          </cell>
        </row>
        <row r="311">
          <cell r="E311" t="str">
            <v>Ourolândia</v>
          </cell>
        </row>
        <row r="312">
          <cell r="E312" t="str">
            <v>Palmas de Monte Alto</v>
          </cell>
        </row>
        <row r="313">
          <cell r="E313" t="str">
            <v>Palmeiras</v>
          </cell>
        </row>
        <row r="314">
          <cell r="E314" t="str">
            <v>Paramirim</v>
          </cell>
        </row>
        <row r="315">
          <cell r="E315" t="str">
            <v>Paratinga</v>
          </cell>
        </row>
        <row r="316">
          <cell r="E316" t="str">
            <v>Paripiranga</v>
          </cell>
        </row>
        <row r="317">
          <cell r="E317" t="str">
            <v>Pau Brasil</v>
          </cell>
        </row>
        <row r="318">
          <cell r="E318" t="str">
            <v>Paulo Afonso</v>
          </cell>
        </row>
        <row r="319">
          <cell r="E319" t="str">
            <v>Pé de Serra</v>
          </cell>
        </row>
        <row r="320">
          <cell r="E320" t="str">
            <v>Pedrão</v>
          </cell>
        </row>
        <row r="321">
          <cell r="E321" t="str">
            <v>Pedro Alexandre</v>
          </cell>
        </row>
        <row r="322">
          <cell r="E322" t="str">
            <v>Piatã</v>
          </cell>
        </row>
        <row r="323">
          <cell r="E323" t="str">
            <v>Pilão Arcado</v>
          </cell>
        </row>
        <row r="324">
          <cell r="E324" t="str">
            <v>Pindaí</v>
          </cell>
        </row>
        <row r="325">
          <cell r="E325" t="str">
            <v>Pindobaçu</v>
          </cell>
        </row>
        <row r="326">
          <cell r="E326" t="str">
            <v>Pintadas</v>
          </cell>
        </row>
        <row r="327">
          <cell r="E327" t="str">
            <v>Piraí do Norte</v>
          </cell>
        </row>
        <row r="328">
          <cell r="E328" t="str">
            <v>Piripá</v>
          </cell>
        </row>
        <row r="329">
          <cell r="E329" t="str">
            <v>Piritiba</v>
          </cell>
        </row>
        <row r="330">
          <cell r="E330" t="str">
            <v>Planaltino</v>
          </cell>
        </row>
        <row r="331">
          <cell r="E331" t="str">
            <v>Planalto</v>
          </cell>
        </row>
        <row r="332">
          <cell r="E332" t="str">
            <v>Poções</v>
          </cell>
        </row>
        <row r="333">
          <cell r="E333" t="str">
            <v>Pojuca</v>
          </cell>
        </row>
        <row r="334">
          <cell r="E334" t="str">
            <v>Ponto Novo</v>
          </cell>
        </row>
        <row r="335">
          <cell r="E335" t="str">
            <v>Porto Seguro</v>
          </cell>
        </row>
        <row r="336">
          <cell r="E336" t="str">
            <v>Potiraguá</v>
          </cell>
        </row>
        <row r="337">
          <cell r="E337" t="str">
            <v>Prado</v>
          </cell>
        </row>
        <row r="338">
          <cell r="E338" t="str">
            <v>Presidente Dutra</v>
          </cell>
        </row>
        <row r="339">
          <cell r="E339" t="str">
            <v>Presidente Jânio Quadros</v>
          </cell>
        </row>
        <row r="340">
          <cell r="E340" t="str">
            <v>Presidente Tancredo Neves</v>
          </cell>
        </row>
        <row r="341">
          <cell r="E341" t="str">
            <v>Queimadas</v>
          </cell>
        </row>
        <row r="342">
          <cell r="E342" t="str">
            <v>Quijingue</v>
          </cell>
        </row>
        <row r="343">
          <cell r="E343" t="str">
            <v>Quixabeira</v>
          </cell>
        </row>
        <row r="344">
          <cell r="E344" t="str">
            <v>Rafael Jambeiro</v>
          </cell>
        </row>
        <row r="345">
          <cell r="E345" t="str">
            <v>Remanso</v>
          </cell>
        </row>
        <row r="346">
          <cell r="E346" t="str">
            <v>Retirolândia</v>
          </cell>
        </row>
        <row r="347">
          <cell r="E347" t="str">
            <v>Riachão das Neves</v>
          </cell>
        </row>
        <row r="348">
          <cell r="E348" t="str">
            <v>Riachão do Jacuípe</v>
          </cell>
        </row>
        <row r="349">
          <cell r="E349" t="str">
            <v>Riacho de Santana</v>
          </cell>
        </row>
        <row r="350">
          <cell r="E350" t="str">
            <v>Ribeira do Amparo</v>
          </cell>
        </row>
        <row r="351">
          <cell r="E351" t="str">
            <v>Ribeira do Pombal</v>
          </cell>
        </row>
        <row r="352">
          <cell r="E352" t="str">
            <v>Ribeirão do Largo</v>
          </cell>
        </row>
        <row r="353">
          <cell r="E353" t="str">
            <v>Rio de Contas</v>
          </cell>
        </row>
        <row r="354">
          <cell r="E354" t="str">
            <v>Rio do Antônio</v>
          </cell>
        </row>
        <row r="355">
          <cell r="E355" t="str">
            <v>Rio do Pires</v>
          </cell>
        </row>
        <row r="356">
          <cell r="E356" t="str">
            <v>Rio Real</v>
          </cell>
        </row>
        <row r="357">
          <cell r="E357" t="str">
            <v>Rodelas</v>
          </cell>
        </row>
        <row r="358">
          <cell r="E358" t="str">
            <v>Ruy Barbosa</v>
          </cell>
        </row>
        <row r="359">
          <cell r="E359" t="str">
            <v>Salinas da Margarida</v>
          </cell>
        </row>
        <row r="360">
          <cell r="E360" t="str">
            <v>Salvador</v>
          </cell>
        </row>
        <row r="361">
          <cell r="E361" t="str">
            <v>Santa Bárbara</v>
          </cell>
        </row>
        <row r="362">
          <cell r="E362" t="str">
            <v>Santa Brígida</v>
          </cell>
        </row>
        <row r="363">
          <cell r="E363" t="str">
            <v>Santa Cruz Cabrália</v>
          </cell>
        </row>
        <row r="364">
          <cell r="E364" t="str">
            <v>Santa Cruz da Vitória</v>
          </cell>
        </row>
        <row r="365">
          <cell r="E365" t="str">
            <v>Santa Inês</v>
          </cell>
        </row>
        <row r="366">
          <cell r="E366" t="str">
            <v>Santa Luzia</v>
          </cell>
        </row>
        <row r="367">
          <cell r="E367" t="str">
            <v>Santa Maria da Vitória</v>
          </cell>
        </row>
        <row r="368">
          <cell r="E368" t="str">
            <v>Santa Rita de Cássia</v>
          </cell>
        </row>
        <row r="369">
          <cell r="E369" t="str">
            <v>Santa Teresinha</v>
          </cell>
        </row>
        <row r="370">
          <cell r="E370" t="str">
            <v>Santaluz</v>
          </cell>
        </row>
        <row r="371">
          <cell r="E371" t="str">
            <v>Santana</v>
          </cell>
        </row>
        <row r="372">
          <cell r="E372" t="str">
            <v>Santanópolis</v>
          </cell>
        </row>
        <row r="373">
          <cell r="E373" t="str">
            <v>Santo Amaro</v>
          </cell>
        </row>
        <row r="374">
          <cell r="E374" t="str">
            <v>Santo Antônio de Jesus</v>
          </cell>
        </row>
        <row r="375">
          <cell r="E375" t="str">
            <v>Santo Estêvão</v>
          </cell>
        </row>
        <row r="376">
          <cell r="E376" t="str">
            <v>São Desidério</v>
          </cell>
        </row>
        <row r="377">
          <cell r="E377" t="str">
            <v>São Domingos</v>
          </cell>
        </row>
        <row r="378">
          <cell r="E378" t="str">
            <v>São Felipe</v>
          </cell>
        </row>
        <row r="379">
          <cell r="E379" t="str">
            <v>São Félix</v>
          </cell>
        </row>
        <row r="380">
          <cell r="E380" t="str">
            <v>São Félix do Coribe</v>
          </cell>
        </row>
        <row r="381">
          <cell r="E381" t="str">
            <v>São Francisco do Conde</v>
          </cell>
        </row>
        <row r="382">
          <cell r="E382" t="str">
            <v>São Gabriel</v>
          </cell>
        </row>
        <row r="383">
          <cell r="E383" t="str">
            <v>São Gonçalo dos Campos</v>
          </cell>
        </row>
        <row r="384">
          <cell r="E384" t="str">
            <v>São José da Vitória</v>
          </cell>
        </row>
        <row r="385">
          <cell r="E385" t="str">
            <v>São José do Jacuípe</v>
          </cell>
        </row>
        <row r="386">
          <cell r="E386" t="str">
            <v>São Miguel das Matas</v>
          </cell>
        </row>
        <row r="387">
          <cell r="E387" t="str">
            <v>São Sebastião do Passé</v>
          </cell>
        </row>
        <row r="388">
          <cell r="E388" t="str">
            <v>Sapeaçu</v>
          </cell>
        </row>
        <row r="389">
          <cell r="E389" t="str">
            <v>Sátiro Dias</v>
          </cell>
        </row>
        <row r="390">
          <cell r="E390" t="str">
            <v>Saubara</v>
          </cell>
        </row>
        <row r="391">
          <cell r="E391" t="str">
            <v>Saúde</v>
          </cell>
        </row>
        <row r="392">
          <cell r="E392" t="str">
            <v>Seabra</v>
          </cell>
        </row>
        <row r="393">
          <cell r="E393" t="str">
            <v>Sebastião Laranjeiras</v>
          </cell>
        </row>
        <row r="394">
          <cell r="E394" t="str">
            <v>Senhor do Bonfim</v>
          </cell>
        </row>
        <row r="395">
          <cell r="E395" t="str">
            <v>Sento Sé</v>
          </cell>
        </row>
        <row r="396">
          <cell r="E396" t="str">
            <v>Serra do Ramalho</v>
          </cell>
        </row>
        <row r="397">
          <cell r="E397" t="str">
            <v>Serra Dourada</v>
          </cell>
        </row>
        <row r="398">
          <cell r="E398" t="str">
            <v>Serra Preta</v>
          </cell>
        </row>
        <row r="399">
          <cell r="E399" t="str">
            <v>Serrinha</v>
          </cell>
        </row>
        <row r="400">
          <cell r="E400" t="str">
            <v>Serrolândia</v>
          </cell>
        </row>
        <row r="401">
          <cell r="E401" t="str">
            <v>Simões Filho</v>
          </cell>
        </row>
        <row r="402">
          <cell r="E402" t="str">
            <v>Sítio do Mato</v>
          </cell>
        </row>
        <row r="403">
          <cell r="E403" t="str">
            <v>Sítio do Quinto</v>
          </cell>
        </row>
        <row r="404">
          <cell r="E404" t="str">
            <v>Sobradinho</v>
          </cell>
        </row>
        <row r="405">
          <cell r="E405" t="str">
            <v>Souto Soares</v>
          </cell>
        </row>
        <row r="406">
          <cell r="E406" t="str">
            <v>Tabocas do Brejo Velho</v>
          </cell>
        </row>
        <row r="407">
          <cell r="E407" t="str">
            <v>Tanhaçu</v>
          </cell>
        </row>
        <row r="408">
          <cell r="E408" t="str">
            <v>Tanque Novo</v>
          </cell>
        </row>
        <row r="409">
          <cell r="E409" t="str">
            <v>Tanquinho</v>
          </cell>
        </row>
        <row r="410">
          <cell r="E410" t="str">
            <v>Taperoá</v>
          </cell>
        </row>
        <row r="411">
          <cell r="E411" t="str">
            <v>Tapiramutá</v>
          </cell>
        </row>
        <row r="412">
          <cell r="E412" t="str">
            <v>Teixeira de Freitas</v>
          </cell>
        </row>
        <row r="413">
          <cell r="E413" t="str">
            <v>Teodoro Sampaio</v>
          </cell>
        </row>
        <row r="414">
          <cell r="E414" t="str">
            <v>Teofilândia</v>
          </cell>
        </row>
        <row r="415">
          <cell r="E415" t="str">
            <v>Teolândia</v>
          </cell>
        </row>
        <row r="416">
          <cell r="E416" t="str">
            <v>Terra Nova</v>
          </cell>
        </row>
        <row r="417">
          <cell r="E417" t="str">
            <v>Tremedal</v>
          </cell>
        </row>
        <row r="418">
          <cell r="E418" t="str">
            <v>Tucano</v>
          </cell>
        </row>
        <row r="419">
          <cell r="E419" t="str">
            <v>Uauá</v>
          </cell>
        </row>
        <row r="420">
          <cell r="E420" t="str">
            <v>Ubaíra</v>
          </cell>
        </row>
        <row r="421">
          <cell r="E421" t="str">
            <v>Ubaitaba</v>
          </cell>
        </row>
        <row r="422">
          <cell r="E422" t="str">
            <v>Ubatã</v>
          </cell>
        </row>
        <row r="423">
          <cell r="E423" t="str">
            <v>Uibaí</v>
          </cell>
        </row>
        <row r="424">
          <cell r="E424" t="str">
            <v>Umburanas</v>
          </cell>
        </row>
        <row r="425">
          <cell r="E425" t="str">
            <v>Una</v>
          </cell>
        </row>
        <row r="426">
          <cell r="E426" t="str">
            <v>Urandi</v>
          </cell>
        </row>
        <row r="427">
          <cell r="E427" t="str">
            <v>Uruçuca</v>
          </cell>
        </row>
        <row r="428">
          <cell r="E428" t="str">
            <v>Utinga</v>
          </cell>
        </row>
        <row r="429">
          <cell r="E429" t="str">
            <v>Valença</v>
          </cell>
        </row>
        <row r="430">
          <cell r="E430" t="str">
            <v>Valente</v>
          </cell>
        </row>
        <row r="431">
          <cell r="E431" t="str">
            <v>Várzea da Roça</v>
          </cell>
        </row>
        <row r="432">
          <cell r="E432" t="str">
            <v>Várzea do Poço</v>
          </cell>
        </row>
        <row r="433">
          <cell r="E433" t="str">
            <v>Várzea Nova</v>
          </cell>
        </row>
        <row r="434">
          <cell r="E434" t="str">
            <v>Varzedo</v>
          </cell>
        </row>
        <row r="435">
          <cell r="E435" t="str">
            <v>Vera Cruz</v>
          </cell>
        </row>
        <row r="436">
          <cell r="E436" t="str">
            <v>Vereda</v>
          </cell>
        </row>
        <row r="437">
          <cell r="E437" t="str">
            <v>Vitória da Conquista</v>
          </cell>
        </row>
        <row r="438">
          <cell r="E438" t="str">
            <v>Wagner</v>
          </cell>
        </row>
        <row r="439">
          <cell r="E439" t="str">
            <v>Wanderley</v>
          </cell>
        </row>
        <row r="440">
          <cell r="E440" t="str">
            <v>Wenceslau Guimarães</v>
          </cell>
        </row>
        <row r="441">
          <cell r="E441" t="str">
            <v>Xique-Xique</v>
          </cell>
        </row>
        <row r="445">
          <cell r="E445" t="str">
            <v>Brasília</v>
          </cell>
        </row>
        <row r="449">
          <cell r="E449" t="str">
            <v>Afonso Cláudio</v>
          </cell>
        </row>
        <row r="450">
          <cell r="E450" t="str">
            <v>Água Doce do Norte</v>
          </cell>
        </row>
        <row r="451">
          <cell r="E451" t="str">
            <v>Águia Branca</v>
          </cell>
        </row>
        <row r="452">
          <cell r="E452" t="str">
            <v>Alegre</v>
          </cell>
        </row>
        <row r="453">
          <cell r="E453" t="str">
            <v>Alfredo Chaves</v>
          </cell>
        </row>
        <row r="454">
          <cell r="E454" t="str">
            <v>Alto Rio Novo</v>
          </cell>
        </row>
        <row r="455">
          <cell r="E455" t="str">
            <v>Anchieta</v>
          </cell>
        </row>
        <row r="456">
          <cell r="E456" t="str">
            <v>Apiacá</v>
          </cell>
        </row>
        <row r="457">
          <cell r="E457" t="str">
            <v>Aracruz</v>
          </cell>
        </row>
        <row r="458">
          <cell r="E458" t="str">
            <v>Atilio Vivacqua</v>
          </cell>
        </row>
        <row r="459">
          <cell r="E459" t="str">
            <v>Baixo Guandu</v>
          </cell>
        </row>
        <row r="460">
          <cell r="E460" t="str">
            <v>Barra de São Francisco</v>
          </cell>
        </row>
        <row r="461">
          <cell r="E461" t="str">
            <v>Boa Esperança</v>
          </cell>
        </row>
        <row r="462">
          <cell r="E462" t="str">
            <v>Bom Jesus do Norte</v>
          </cell>
        </row>
        <row r="463">
          <cell r="E463" t="str">
            <v>Brejetuba</v>
          </cell>
        </row>
        <row r="464">
          <cell r="E464" t="str">
            <v>Cachoeiro de Itapemirim</v>
          </cell>
        </row>
        <row r="465">
          <cell r="E465" t="str">
            <v>Cariacica</v>
          </cell>
        </row>
        <row r="466">
          <cell r="E466" t="str">
            <v>Castelo</v>
          </cell>
        </row>
        <row r="467">
          <cell r="E467" t="str">
            <v>Colatina</v>
          </cell>
        </row>
        <row r="468">
          <cell r="E468" t="str">
            <v>Conceição da Barra</v>
          </cell>
        </row>
        <row r="469">
          <cell r="E469" t="str">
            <v>Conceição do Castelo</v>
          </cell>
        </row>
        <row r="470">
          <cell r="E470" t="str">
            <v>Divino de São Lourenço</v>
          </cell>
        </row>
        <row r="471">
          <cell r="E471" t="str">
            <v>Domingos Martins</v>
          </cell>
        </row>
        <row r="472">
          <cell r="E472" t="str">
            <v>Dores do Rio Preto</v>
          </cell>
        </row>
        <row r="473">
          <cell r="E473" t="str">
            <v>Ecoporanga</v>
          </cell>
        </row>
        <row r="474">
          <cell r="E474" t="str">
            <v>Fundão</v>
          </cell>
        </row>
        <row r="475">
          <cell r="E475" t="str">
            <v>Guaçuí</v>
          </cell>
        </row>
        <row r="476">
          <cell r="E476" t="str">
            <v>Guarapari</v>
          </cell>
        </row>
        <row r="477">
          <cell r="E477" t="str">
            <v>Ibatiba</v>
          </cell>
        </row>
        <row r="478">
          <cell r="E478" t="str">
            <v>Ibiraçu</v>
          </cell>
        </row>
        <row r="479">
          <cell r="E479" t="str">
            <v>Ibitirama</v>
          </cell>
        </row>
        <row r="480">
          <cell r="E480" t="str">
            <v>Iconha</v>
          </cell>
        </row>
        <row r="481">
          <cell r="E481" t="str">
            <v>Irupi</v>
          </cell>
        </row>
        <row r="482">
          <cell r="E482" t="str">
            <v>Itaguaçu</v>
          </cell>
        </row>
        <row r="483">
          <cell r="E483" t="str">
            <v>Itapemirim</v>
          </cell>
        </row>
        <row r="484">
          <cell r="E484" t="str">
            <v>Itarana</v>
          </cell>
        </row>
        <row r="485">
          <cell r="E485" t="str">
            <v>Iúna</v>
          </cell>
        </row>
        <row r="486">
          <cell r="E486" t="str">
            <v>Jaguaré</v>
          </cell>
        </row>
        <row r="487">
          <cell r="E487" t="str">
            <v>Jerônimo Monteiro</v>
          </cell>
        </row>
        <row r="488">
          <cell r="E488" t="str">
            <v>João Neiva</v>
          </cell>
        </row>
        <row r="489">
          <cell r="E489" t="str">
            <v>Laranja da Terra</v>
          </cell>
        </row>
        <row r="490">
          <cell r="E490" t="str">
            <v>Linhares</v>
          </cell>
        </row>
        <row r="491">
          <cell r="E491" t="str">
            <v>Mantenópolis</v>
          </cell>
        </row>
        <row r="492">
          <cell r="E492" t="str">
            <v>Marataízes</v>
          </cell>
        </row>
        <row r="493">
          <cell r="E493" t="str">
            <v>Marechal Floriano</v>
          </cell>
        </row>
        <row r="494">
          <cell r="E494" t="str">
            <v>Marilândia</v>
          </cell>
        </row>
        <row r="495">
          <cell r="E495" t="str">
            <v>Mimoso do Sul</v>
          </cell>
        </row>
        <row r="496">
          <cell r="E496" t="str">
            <v>Montanha</v>
          </cell>
        </row>
        <row r="497">
          <cell r="E497" t="str">
            <v>Mucurici</v>
          </cell>
        </row>
        <row r="498">
          <cell r="E498" t="str">
            <v>Muniz Freire</v>
          </cell>
        </row>
        <row r="499">
          <cell r="E499" t="str">
            <v>Muqui</v>
          </cell>
        </row>
        <row r="500">
          <cell r="E500" t="str">
            <v>Nova Venécia</v>
          </cell>
        </row>
        <row r="501">
          <cell r="E501" t="str">
            <v>Pancas</v>
          </cell>
        </row>
        <row r="502">
          <cell r="E502" t="str">
            <v>Pedro Canário</v>
          </cell>
        </row>
        <row r="503">
          <cell r="E503" t="str">
            <v>Pinheiros</v>
          </cell>
        </row>
        <row r="504">
          <cell r="E504" t="str">
            <v>Piúma</v>
          </cell>
        </row>
        <row r="505">
          <cell r="E505" t="str">
            <v>Ponto Belo</v>
          </cell>
        </row>
        <row r="506">
          <cell r="E506" t="str">
            <v>Presidente Kennedy</v>
          </cell>
        </row>
        <row r="507">
          <cell r="E507" t="str">
            <v>Rio Bananal</v>
          </cell>
        </row>
        <row r="508">
          <cell r="E508" t="str">
            <v>Rio Novo do Sul</v>
          </cell>
        </row>
        <row r="509">
          <cell r="E509" t="str">
            <v>Santa Leopoldina</v>
          </cell>
        </row>
        <row r="510">
          <cell r="E510" t="str">
            <v>Santa Maria de Jetibá</v>
          </cell>
        </row>
        <row r="511">
          <cell r="E511" t="str">
            <v>Santa Teresa</v>
          </cell>
        </row>
        <row r="512">
          <cell r="E512" t="str">
            <v>São Domingos do Norte</v>
          </cell>
        </row>
        <row r="513">
          <cell r="E513" t="str">
            <v>São Gabriel da Palha</v>
          </cell>
        </row>
        <row r="514">
          <cell r="E514" t="str">
            <v>São José do Calçado</v>
          </cell>
        </row>
        <row r="515">
          <cell r="E515" t="str">
            <v>São Mateus</v>
          </cell>
        </row>
        <row r="516">
          <cell r="E516" t="str">
            <v>São Roque do Canaã</v>
          </cell>
        </row>
        <row r="517">
          <cell r="E517" t="str">
            <v>Serra</v>
          </cell>
        </row>
        <row r="518">
          <cell r="E518" t="str">
            <v>Sooretama</v>
          </cell>
        </row>
        <row r="519">
          <cell r="E519" t="str">
            <v>Vargem Alta</v>
          </cell>
        </row>
        <row r="520">
          <cell r="E520" t="str">
            <v>Venda Nova do Imigrante</v>
          </cell>
        </row>
        <row r="521">
          <cell r="E521" t="str">
            <v>Viana</v>
          </cell>
        </row>
        <row r="522">
          <cell r="E522" t="str">
            <v>Vila Pavão</v>
          </cell>
        </row>
        <row r="523">
          <cell r="E523" t="str">
            <v>Vila Valério</v>
          </cell>
        </row>
        <row r="524">
          <cell r="E524" t="str">
            <v>Vila Velha</v>
          </cell>
        </row>
        <row r="525">
          <cell r="E525" t="str">
            <v>Vitória</v>
          </cell>
        </row>
        <row r="530">
          <cell r="E530" t="str">
            <v>Abadia de Goiás</v>
          </cell>
        </row>
        <row r="531">
          <cell r="E531" t="str">
            <v>Abadiânia</v>
          </cell>
        </row>
        <row r="532">
          <cell r="E532" t="str">
            <v>Acreúna</v>
          </cell>
        </row>
        <row r="533">
          <cell r="E533" t="str">
            <v>Adelândia</v>
          </cell>
        </row>
        <row r="534">
          <cell r="E534" t="str">
            <v>Água Fria de Goiás</v>
          </cell>
        </row>
        <row r="535">
          <cell r="E535" t="str">
            <v>Água Limpa</v>
          </cell>
        </row>
        <row r="536">
          <cell r="E536" t="str">
            <v>Águas Lindas de Goiás</v>
          </cell>
        </row>
        <row r="537">
          <cell r="E537" t="str">
            <v>Alexânia</v>
          </cell>
        </row>
        <row r="538">
          <cell r="E538" t="str">
            <v>Aloândia</v>
          </cell>
        </row>
        <row r="539">
          <cell r="E539" t="str">
            <v>Alto Horizonte</v>
          </cell>
        </row>
        <row r="540">
          <cell r="E540" t="str">
            <v>Alto Paraíso de Goiás</v>
          </cell>
        </row>
        <row r="541">
          <cell r="E541" t="str">
            <v>Alvorada do Norte</v>
          </cell>
        </row>
        <row r="542">
          <cell r="E542" t="str">
            <v>Amaralina</v>
          </cell>
        </row>
        <row r="543">
          <cell r="E543" t="str">
            <v>Americano do Brasil</v>
          </cell>
        </row>
        <row r="544">
          <cell r="E544" t="str">
            <v>Amorinópolis</v>
          </cell>
        </row>
        <row r="545">
          <cell r="E545" t="str">
            <v>Anápolis</v>
          </cell>
        </row>
        <row r="546">
          <cell r="E546" t="str">
            <v>Anhanguera</v>
          </cell>
        </row>
        <row r="547">
          <cell r="E547" t="str">
            <v>Anicuns</v>
          </cell>
        </row>
        <row r="548">
          <cell r="E548" t="str">
            <v>Aparecida de Goiânia</v>
          </cell>
        </row>
        <row r="549">
          <cell r="E549" t="str">
            <v>Aparecida do Rio Doce</v>
          </cell>
        </row>
        <row r="550">
          <cell r="E550" t="str">
            <v>Aporé</v>
          </cell>
        </row>
        <row r="551">
          <cell r="E551" t="str">
            <v>Araçu</v>
          </cell>
        </row>
        <row r="552">
          <cell r="E552" t="str">
            <v>Aragarças</v>
          </cell>
        </row>
        <row r="553">
          <cell r="E553" t="str">
            <v>Aragoiânia</v>
          </cell>
        </row>
        <row r="554">
          <cell r="E554" t="str">
            <v>Araguapaz</v>
          </cell>
        </row>
        <row r="555">
          <cell r="E555" t="str">
            <v>Arenópolis</v>
          </cell>
        </row>
        <row r="556">
          <cell r="E556" t="str">
            <v>Aruanã</v>
          </cell>
        </row>
        <row r="557">
          <cell r="E557" t="str">
            <v>Aurilândia</v>
          </cell>
        </row>
        <row r="558">
          <cell r="E558" t="str">
            <v>Avelinópolis</v>
          </cell>
        </row>
        <row r="559">
          <cell r="E559" t="str">
            <v>Baliza</v>
          </cell>
        </row>
        <row r="560">
          <cell r="E560" t="str">
            <v>Barro Alto</v>
          </cell>
        </row>
        <row r="561">
          <cell r="E561" t="str">
            <v>Bela Vista de Goiás</v>
          </cell>
        </row>
        <row r="562">
          <cell r="E562" t="str">
            <v>Bom Jardim de Goiás</v>
          </cell>
        </row>
        <row r="563">
          <cell r="E563" t="str">
            <v>Bom Jesus de Goiás</v>
          </cell>
        </row>
        <row r="564">
          <cell r="E564" t="str">
            <v>Bonfinópolis</v>
          </cell>
        </row>
        <row r="565">
          <cell r="E565" t="str">
            <v>Bonópolis</v>
          </cell>
        </row>
        <row r="566">
          <cell r="E566" t="str">
            <v>Brazabrantes</v>
          </cell>
        </row>
        <row r="567">
          <cell r="E567" t="str">
            <v>Britânia</v>
          </cell>
        </row>
        <row r="568">
          <cell r="E568" t="str">
            <v>Buriti Alegre</v>
          </cell>
        </row>
        <row r="569">
          <cell r="E569" t="str">
            <v>Buriti de Goiás</v>
          </cell>
        </row>
        <row r="570">
          <cell r="E570" t="str">
            <v>Buritinópolis</v>
          </cell>
        </row>
        <row r="571">
          <cell r="E571" t="str">
            <v>Cabeceiras</v>
          </cell>
        </row>
        <row r="572">
          <cell r="E572" t="str">
            <v>Cachoeira Alta</v>
          </cell>
        </row>
        <row r="573">
          <cell r="E573" t="str">
            <v>Cachoeira de Goiás</v>
          </cell>
        </row>
        <row r="574">
          <cell r="E574" t="str">
            <v>Cachoeira Dourada</v>
          </cell>
        </row>
        <row r="575">
          <cell r="E575" t="str">
            <v>Caçu</v>
          </cell>
        </row>
        <row r="576">
          <cell r="E576" t="str">
            <v>Caiapônia</v>
          </cell>
        </row>
        <row r="577">
          <cell r="E577" t="str">
            <v>Caldas Novas</v>
          </cell>
        </row>
        <row r="578">
          <cell r="E578" t="str">
            <v>Caldazinha</v>
          </cell>
        </row>
        <row r="579">
          <cell r="E579" t="str">
            <v>Campestre de Goiás</v>
          </cell>
        </row>
        <row r="580">
          <cell r="E580" t="str">
            <v>Campinaçu</v>
          </cell>
        </row>
        <row r="581">
          <cell r="E581" t="str">
            <v>Campinorte</v>
          </cell>
        </row>
        <row r="582">
          <cell r="E582" t="str">
            <v>Campo Alegre de Goiás</v>
          </cell>
        </row>
        <row r="583">
          <cell r="E583" t="str">
            <v>Campos Belos</v>
          </cell>
        </row>
        <row r="584">
          <cell r="E584" t="str">
            <v>Campos Verdes</v>
          </cell>
        </row>
        <row r="585">
          <cell r="E585" t="str">
            <v>Carmo do Rio Verde</v>
          </cell>
        </row>
        <row r="586">
          <cell r="E586" t="str">
            <v>Castelândia</v>
          </cell>
        </row>
        <row r="587">
          <cell r="E587" t="str">
            <v>Catalão</v>
          </cell>
        </row>
        <row r="588">
          <cell r="E588" t="str">
            <v>Caturaí</v>
          </cell>
        </row>
        <row r="589">
          <cell r="E589" t="str">
            <v>Cavalcante</v>
          </cell>
        </row>
        <row r="590">
          <cell r="E590" t="str">
            <v>Ceres</v>
          </cell>
        </row>
        <row r="591">
          <cell r="E591" t="str">
            <v>Cezarina</v>
          </cell>
        </row>
        <row r="592">
          <cell r="E592" t="str">
            <v>Chapadão do Céu</v>
          </cell>
        </row>
        <row r="593">
          <cell r="E593" t="str">
            <v>Cidade Ocidental</v>
          </cell>
        </row>
        <row r="594">
          <cell r="E594" t="str">
            <v>Cocalzinho de Goiás</v>
          </cell>
        </row>
        <row r="595">
          <cell r="E595" t="str">
            <v>Colinas do Sul</v>
          </cell>
        </row>
        <row r="596">
          <cell r="E596" t="str">
            <v>Córrego do Ouro</v>
          </cell>
        </row>
        <row r="597">
          <cell r="E597" t="str">
            <v>Corumbá de Goiás</v>
          </cell>
        </row>
        <row r="598">
          <cell r="E598" t="str">
            <v>Corumbaíba</v>
          </cell>
        </row>
        <row r="599">
          <cell r="E599" t="str">
            <v>Cristalina</v>
          </cell>
        </row>
        <row r="600">
          <cell r="E600" t="str">
            <v>Cristianópolis</v>
          </cell>
        </row>
        <row r="601">
          <cell r="E601" t="str">
            <v>Crixás</v>
          </cell>
        </row>
        <row r="602">
          <cell r="E602" t="str">
            <v>Cromínia</v>
          </cell>
        </row>
        <row r="603">
          <cell r="E603" t="str">
            <v>Cumari</v>
          </cell>
        </row>
        <row r="604">
          <cell r="E604" t="str">
            <v>Damianópolis</v>
          </cell>
        </row>
        <row r="605">
          <cell r="E605" t="str">
            <v>Damolândia</v>
          </cell>
        </row>
        <row r="606">
          <cell r="E606" t="str">
            <v>Davinópolis</v>
          </cell>
        </row>
        <row r="607">
          <cell r="E607" t="str">
            <v>Diorama</v>
          </cell>
        </row>
        <row r="608">
          <cell r="E608" t="str">
            <v>Divinópolis de Goiás</v>
          </cell>
        </row>
        <row r="609">
          <cell r="E609" t="str">
            <v>Doverlândia</v>
          </cell>
        </row>
        <row r="610">
          <cell r="E610" t="str">
            <v>Edealina</v>
          </cell>
        </row>
        <row r="611">
          <cell r="E611" t="str">
            <v>Edéia</v>
          </cell>
        </row>
        <row r="612">
          <cell r="E612" t="str">
            <v>Estrela do Norte</v>
          </cell>
        </row>
        <row r="613">
          <cell r="E613" t="str">
            <v>Faina</v>
          </cell>
        </row>
        <row r="614">
          <cell r="E614" t="str">
            <v>Fazenda Nova</v>
          </cell>
        </row>
        <row r="615">
          <cell r="E615" t="str">
            <v>Firminópolis</v>
          </cell>
        </row>
        <row r="616">
          <cell r="E616" t="str">
            <v>Flores de Goiás</v>
          </cell>
        </row>
        <row r="617">
          <cell r="E617" t="str">
            <v>Formosa</v>
          </cell>
        </row>
        <row r="618">
          <cell r="E618" t="str">
            <v>Formoso</v>
          </cell>
        </row>
        <row r="619">
          <cell r="E619" t="str">
            <v>Goianápolis</v>
          </cell>
        </row>
        <row r="620">
          <cell r="E620" t="str">
            <v>Goiandira</v>
          </cell>
        </row>
        <row r="621">
          <cell r="E621" t="str">
            <v>Goianésia</v>
          </cell>
        </row>
        <row r="622">
          <cell r="E622" t="str">
            <v>Goiânia</v>
          </cell>
        </row>
        <row r="623">
          <cell r="E623" t="str">
            <v>Goianira</v>
          </cell>
        </row>
        <row r="624">
          <cell r="E624" t="str">
            <v>Goiás</v>
          </cell>
        </row>
        <row r="625">
          <cell r="E625" t="str">
            <v>Goiatuba</v>
          </cell>
        </row>
        <row r="626">
          <cell r="E626" t="str">
            <v>Gouvelândia</v>
          </cell>
        </row>
        <row r="627">
          <cell r="E627" t="str">
            <v>Guapó</v>
          </cell>
        </row>
        <row r="628">
          <cell r="E628" t="str">
            <v>Guaraíta</v>
          </cell>
        </row>
        <row r="629">
          <cell r="E629" t="str">
            <v>Guarani de Goiás</v>
          </cell>
        </row>
        <row r="630">
          <cell r="E630" t="str">
            <v>Guarinos</v>
          </cell>
        </row>
        <row r="631">
          <cell r="E631" t="str">
            <v>Heitoraí</v>
          </cell>
        </row>
        <row r="632">
          <cell r="E632" t="str">
            <v>Hidrolândia</v>
          </cell>
        </row>
        <row r="633">
          <cell r="E633" t="str">
            <v>Hidrolina</v>
          </cell>
        </row>
        <row r="634">
          <cell r="E634" t="str">
            <v>Iaciara</v>
          </cell>
        </row>
        <row r="635">
          <cell r="E635" t="str">
            <v>Inaciolândia</v>
          </cell>
        </row>
        <row r="636">
          <cell r="E636" t="str">
            <v>Indiara</v>
          </cell>
        </row>
        <row r="637">
          <cell r="E637" t="str">
            <v>Inhumas</v>
          </cell>
        </row>
        <row r="638">
          <cell r="E638" t="str">
            <v>Ipameri</v>
          </cell>
        </row>
        <row r="639">
          <cell r="E639" t="str">
            <v>Iporá</v>
          </cell>
        </row>
        <row r="640">
          <cell r="E640" t="str">
            <v>Israelândia</v>
          </cell>
        </row>
        <row r="641">
          <cell r="E641" t="str">
            <v>Itaberaí</v>
          </cell>
        </row>
        <row r="642">
          <cell r="E642" t="str">
            <v>Itaguari</v>
          </cell>
        </row>
        <row r="643">
          <cell r="E643" t="str">
            <v>Itaguaru</v>
          </cell>
        </row>
        <row r="644">
          <cell r="E644" t="str">
            <v>Itajá</v>
          </cell>
        </row>
        <row r="645">
          <cell r="E645" t="str">
            <v>Itapaci</v>
          </cell>
        </row>
        <row r="646">
          <cell r="E646" t="str">
            <v>Itapirapuã</v>
          </cell>
        </row>
        <row r="647">
          <cell r="E647" t="str">
            <v>Itapuranga</v>
          </cell>
        </row>
        <row r="648">
          <cell r="E648" t="str">
            <v>Itarumã</v>
          </cell>
        </row>
        <row r="649">
          <cell r="E649" t="str">
            <v>Itauçu</v>
          </cell>
        </row>
        <row r="650">
          <cell r="E650" t="str">
            <v>Itumbiara</v>
          </cell>
        </row>
        <row r="651">
          <cell r="E651" t="str">
            <v>Ivolândia</v>
          </cell>
        </row>
        <row r="652">
          <cell r="E652" t="str">
            <v>Jandaia</v>
          </cell>
        </row>
        <row r="653">
          <cell r="E653" t="str">
            <v>Jaraguá</v>
          </cell>
        </row>
        <row r="654">
          <cell r="E654" t="str">
            <v>Jataí</v>
          </cell>
        </row>
        <row r="655">
          <cell r="E655" t="str">
            <v>Jaupaci</v>
          </cell>
        </row>
        <row r="656">
          <cell r="E656" t="str">
            <v>Jesúpolis</v>
          </cell>
        </row>
        <row r="657">
          <cell r="E657" t="str">
            <v>Joviânia</v>
          </cell>
        </row>
        <row r="658">
          <cell r="E658" t="str">
            <v>Jussara</v>
          </cell>
        </row>
        <row r="659">
          <cell r="E659" t="str">
            <v>Leopoldo de Bulhões</v>
          </cell>
        </row>
        <row r="660">
          <cell r="E660" t="str">
            <v>Luziânia</v>
          </cell>
        </row>
        <row r="661">
          <cell r="E661" t="str">
            <v>Mairipotaba</v>
          </cell>
        </row>
        <row r="662">
          <cell r="E662" t="str">
            <v>Mambaí</v>
          </cell>
        </row>
        <row r="663">
          <cell r="E663" t="str">
            <v>Mara Rosa</v>
          </cell>
        </row>
        <row r="664">
          <cell r="E664" t="str">
            <v>Marzagão</v>
          </cell>
        </row>
        <row r="665">
          <cell r="E665" t="str">
            <v>Matrinchã</v>
          </cell>
        </row>
        <row r="666">
          <cell r="E666" t="str">
            <v>Maurilândia</v>
          </cell>
        </row>
        <row r="667">
          <cell r="E667" t="str">
            <v>Mimoso de Goiás</v>
          </cell>
        </row>
        <row r="668">
          <cell r="E668" t="str">
            <v>Minaçu</v>
          </cell>
        </row>
        <row r="669">
          <cell r="E669" t="str">
            <v>Mineiros</v>
          </cell>
        </row>
        <row r="670">
          <cell r="E670" t="str">
            <v>Moiporá</v>
          </cell>
        </row>
        <row r="671">
          <cell r="E671" t="str">
            <v>Monte Alegre de Goiás</v>
          </cell>
        </row>
        <row r="672">
          <cell r="E672" t="str">
            <v>Montes Claros de Goiás</v>
          </cell>
        </row>
        <row r="673">
          <cell r="E673" t="str">
            <v>Montividiu</v>
          </cell>
        </row>
        <row r="674">
          <cell r="E674" t="str">
            <v>Montividiu do Norte</v>
          </cell>
        </row>
        <row r="675">
          <cell r="E675" t="str">
            <v>Morrinhos</v>
          </cell>
        </row>
        <row r="676">
          <cell r="E676" t="str">
            <v>Morro Agudo de Goiás</v>
          </cell>
        </row>
        <row r="677">
          <cell r="E677" t="str">
            <v>Mossâmedes</v>
          </cell>
        </row>
        <row r="678">
          <cell r="E678" t="str">
            <v>Mozarlândia</v>
          </cell>
        </row>
        <row r="679">
          <cell r="E679" t="str">
            <v>Mundo Novo</v>
          </cell>
        </row>
        <row r="680">
          <cell r="E680" t="str">
            <v>Mutunópolis</v>
          </cell>
        </row>
        <row r="681">
          <cell r="E681" t="str">
            <v>Nazário</v>
          </cell>
        </row>
        <row r="682">
          <cell r="E682" t="str">
            <v>Nerópolis</v>
          </cell>
        </row>
        <row r="683">
          <cell r="E683" t="str">
            <v>Niquelândia</v>
          </cell>
        </row>
        <row r="684">
          <cell r="E684" t="str">
            <v>Nova América</v>
          </cell>
        </row>
        <row r="685">
          <cell r="E685" t="str">
            <v>Nova Aurora</v>
          </cell>
        </row>
        <row r="686">
          <cell r="E686" t="str">
            <v>Nova Crixás</v>
          </cell>
        </row>
        <row r="687">
          <cell r="E687" t="str">
            <v>Nova Glória</v>
          </cell>
        </row>
        <row r="688">
          <cell r="E688" t="str">
            <v>Nova Iguaçu de Goiás</v>
          </cell>
        </row>
        <row r="689">
          <cell r="E689" t="str">
            <v>Nova Roma</v>
          </cell>
        </row>
        <row r="690">
          <cell r="E690" t="str">
            <v>Nova Veneza</v>
          </cell>
        </row>
        <row r="691">
          <cell r="E691" t="str">
            <v>Novo Brasil</v>
          </cell>
        </row>
        <row r="692">
          <cell r="E692" t="str">
            <v>Novo Gama</v>
          </cell>
        </row>
        <row r="693">
          <cell r="E693" t="str">
            <v>Novo Planalto</v>
          </cell>
        </row>
        <row r="694">
          <cell r="E694" t="str">
            <v>Orizona</v>
          </cell>
        </row>
        <row r="695">
          <cell r="E695" t="str">
            <v>Ouro Verde de Goiás</v>
          </cell>
        </row>
        <row r="696">
          <cell r="E696" t="str">
            <v>Ouvidor</v>
          </cell>
        </row>
        <row r="697">
          <cell r="E697" t="str">
            <v>Padre Bernardo</v>
          </cell>
        </row>
        <row r="698">
          <cell r="E698" t="str">
            <v>Palestina de Goiás</v>
          </cell>
        </row>
        <row r="699">
          <cell r="E699" t="str">
            <v>Palmeiras de Goiás</v>
          </cell>
        </row>
        <row r="700">
          <cell r="E700" t="str">
            <v>Palmelo</v>
          </cell>
        </row>
        <row r="701">
          <cell r="E701" t="str">
            <v>Palminópolis</v>
          </cell>
        </row>
        <row r="702">
          <cell r="E702" t="str">
            <v>Panamá</v>
          </cell>
        </row>
        <row r="703">
          <cell r="E703" t="str">
            <v>Paranaiguara</v>
          </cell>
        </row>
        <row r="704">
          <cell r="E704" t="str">
            <v>Paraúna</v>
          </cell>
        </row>
        <row r="705">
          <cell r="E705" t="str">
            <v>Perolândia</v>
          </cell>
        </row>
        <row r="706">
          <cell r="E706" t="str">
            <v>Petrolina de Goiás</v>
          </cell>
        </row>
        <row r="707">
          <cell r="E707" t="str">
            <v>Pilar de Goiás</v>
          </cell>
        </row>
        <row r="708">
          <cell r="E708" t="str">
            <v>Piracanjuba</v>
          </cell>
        </row>
        <row r="709">
          <cell r="E709" t="str">
            <v>Piranhas</v>
          </cell>
        </row>
        <row r="710">
          <cell r="E710" t="str">
            <v>Pirenópolis</v>
          </cell>
        </row>
        <row r="711">
          <cell r="E711" t="str">
            <v>Pires do Rio</v>
          </cell>
        </row>
        <row r="712">
          <cell r="E712" t="str">
            <v>Planaltina</v>
          </cell>
        </row>
        <row r="713">
          <cell r="E713" t="str">
            <v>Pontalina</v>
          </cell>
        </row>
        <row r="714">
          <cell r="E714" t="str">
            <v>Porangatu</v>
          </cell>
        </row>
        <row r="715">
          <cell r="E715" t="str">
            <v>Porteirão</v>
          </cell>
        </row>
        <row r="716">
          <cell r="E716" t="str">
            <v>Portelândia</v>
          </cell>
        </row>
        <row r="717">
          <cell r="E717" t="str">
            <v>Posse</v>
          </cell>
        </row>
        <row r="718">
          <cell r="E718" t="str">
            <v>Professor Jamil</v>
          </cell>
        </row>
        <row r="719">
          <cell r="E719" t="str">
            <v>Quirinópolis</v>
          </cell>
        </row>
        <row r="720">
          <cell r="E720" t="str">
            <v>Rialma</v>
          </cell>
        </row>
        <row r="721">
          <cell r="E721" t="str">
            <v>Rianápolis</v>
          </cell>
        </row>
        <row r="722">
          <cell r="E722" t="str">
            <v>Rio Quente</v>
          </cell>
        </row>
        <row r="723">
          <cell r="E723" t="str">
            <v>Rio Verde</v>
          </cell>
        </row>
        <row r="724">
          <cell r="E724" t="str">
            <v>Rubiataba</v>
          </cell>
        </row>
        <row r="725">
          <cell r="E725" t="str">
            <v>Sanclerlândia</v>
          </cell>
        </row>
        <row r="726">
          <cell r="E726" t="str">
            <v>Santa Bárbara de Goiás</v>
          </cell>
        </row>
        <row r="727">
          <cell r="E727" t="str">
            <v>Santa Cruz de Goiás</v>
          </cell>
        </row>
        <row r="728">
          <cell r="E728" t="str">
            <v>Santa Fé de Goiás</v>
          </cell>
        </row>
        <row r="729">
          <cell r="E729" t="str">
            <v>Santa Helena de Goiás</v>
          </cell>
        </row>
        <row r="730">
          <cell r="E730" t="str">
            <v>Santa Isabel</v>
          </cell>
        </row>
        <row r="731">
          <cell r="E731" t="str">
            <v>Santa Rita do Araguaia</v>
          </cell>
        </row>
        <row r="732">
          <cell r="E732" t="str">
            <v>Santa Rita do Novo Destino</v>
          </cell>
        </row>
        <row r="733">
          <cell r="E733" t="str">
            <v>Santa Rosa de Goiás</v>
          </cell>
        </row>
        <row r="734">
          <cell r="E734" t="str">
            <v>Santa Tereza de Goiás</v>
          </cell>
        </row>
        <row r="735">
          <cell r="E735" t="str">
            <v>Santa Terezinha de Goiás</v>
          </cell>
        </row>
        <row r="736">
          <cell r="E736" t="str">
            <v>Santo Antônio da Barra</v>
          </cell>
        </row>
        <row r="737">
          <cell r="E737" t="str">
            <v>Santo Antônio de Goiás</v>
          </cell>
        </row>
        <row r="738">
          <cell r="E738" t="str">
            <v>Santo Antônio do Descoberto</v>
          </cell>
        </row>
        <row r="739">
          <cell r="E739" t="str">
            <v>São Domingos</v>
          </cell>
        </row>
        <row r="740">
          <cell r="E740" t="str">
            <v>São Francisco de Goiás</v>
          </cell>
        </row>
        <row r="741">
          <cell r="E741" t="str">
            <v>São João da Paraúna</v>
          </cell>
        </row>
        <row r="742">
          <cell r="E742" t="str">
            <v>São João d'Aliança</v>
          </cell>
        </row>
        <row r="743">
          <cell r="E743" t="str">
            <v>São Luís de Montes Belos</v>
          </cell>
        </row>
        <row r="744">
          <cell r="E744" t="str">
            <v>São Luíz do Norte</v>
          </cell>
        </row>
        <row r="745">
          <cell r="E745" t="str">
            <v>São Miguel do Araguaia</v>
          </cell>
        </row>
        <row r="746">
          <cell r="E746" t="str">
            <v>São Miguel do Passa Quatro</v>
          </cell>
        </row>
        <row r="747">
          <cell r="E747" t="str">
            <v>São Patrício</v>
          </cell>
        </row>
        <row r="748">
          <cell r="E748" t="str">
            <v>São Simão</v>
          </cell>
        </row>
        <row r="749">
          <cell r="E749" t="str">
            <v>Senador Canedo</v>
          </cell>
        </row>
        <row r="750">
          <cell r="E750" t="str">
            <v>Serranópolis</v>
          </cell>
        </row>
        <row r="751">
          <cell r="E751" t="str">
            <v>Silvânia</v>
          </cell>
        </row>
        <row r="752">
          <cell r="E752" t="str">
            <v>Simolândia</v>
          </cell>
        </row>
        <row r="753">
          <cell r="E753" t="str">
            <v>Sítio d'Abadia</v>
          </cell>
        </row>
        <row r="754">
          <cell r="E754" t="str">
            <v>Taquaral de Goiás</v>
          </cell>
        </row>
        <row r="755">
          <cell r="E755" t="str">
            <v>Teresina de Goiás</v>
          </cell>
        </row>
        <row r="756">
          <cell r="E756" t="str">
            <v>Terezópolis de Goiás</v>
          </cell>
        </row>
        <row r="757">
          <cell r="E757" t="str">
            <v>Três Ranchos</v>
          </cell>
        </row>
        <row r="758">
          <cell r="E758" t="str">
            <v>Trindade</v>
          </cell>
        </row>
        <row r="759">
          <cell r="E759" t="str">
            <v>Trombas</v>
          </cell>
        </row>
        <row r="760">
          <cell r="E760" t="str">
            <v>Turvânia</v>
          </cell>
        </row>
        <row r="761">
          <cell r="E761" t="str">
            <v>Turvelândia</v>
          </cell>
        </row>
        <row r="762">
          <cell r="E762" t="str">
            <v>Uirapuru</v>
          </cell>
        </row>
        <row r="763">
          <cell r="E763" t="str">
            <v>Uruaçu</v>
          </cell>
        </row>
        <row r="764">
          <cell r="E764" t="str">
            <v>Uruana</v>
          </cell>
        </row>
        <row r="765">
          <cell r="E765" t="str">
            <v>Urutaí</v>
          </cell>
        </row>
        <row r="766">
          <cell r="E766" t="str">
            <v>Valparaíso de Goiás</v>
          </cell>
        </row>
        <row r="767">
          <cell r="E767" t="str">
            <v>Varjão</v>
          </cell>
        </row>
        <row r="768">
          <cell r="E768" t="str">
            <v>Vianópolis</v>
          </cell>
        </row>
        <row r="769">
          <cell r="E769" t="str">
            <v>Vicentinópolis</v>
          </cell>
        </row>
        <row r="770">
          <cell r="E770" t="str">
            <v>Vila Boa</v>
          </cell>
        </row>
        <row r="771">
          <cell r="E771" t="str">
            <v>Vila Propício</v>
          </cell>
        </row>
        <row r="776">
          <cell r="E776" t="str">
            <v>Água Clara</v>
          </cell>
        </row>
        <row r="777">
          <cell r="E777" t="str">
            <v>Alcinópolis</v>
          </cell>
        </row>
        <row r="778">
          <cell r="E778" t="str">
            <v>Amambaí</v>
          </cell>
        </row>
        <row r="779">
          <cell r="E779" t="str">
            <v>Anastácio</v>
          </cell>
        </row>
        <row r="780">
          <cell r="E780" t="str">
            <v>Anaurilândia</v>
          </cell>
        </row>
        <row r="781">
          <cell r="E781" t="str">
            <v>Angélica</v>
          </cell>
        </row>
        <row r="782">
          <cell r="E782" t="str">
            <v>Antônio João</v>
          </cell>
        </row>
        <row r="783">
          <cell r="E783" t="str">
            <v>Aparecida do Taboado</v>
          </cell>
        </row>
        <row r="784">
          <cell r="E784" t="str">
            <v>Aquidauana</v>
          </cell>
        </row>
        <row r="785">
          <cell r="E785" t="str">
            <v>Aral Moreira</v>
          </cell>
        </row>
        <row r="786">
          <cell r="E786" t="str">
            <v>Bandeirantes</v>
          </cell>
        </row>
        <row r="787">
          <cell r="E787" t="str">
            <v>Bataguassu</v>
          </cell>
        </row>
        <row r="788">
          <cell r="E788" t="str">
            <v>Batayporã</v>
          </cell>
        </row>
        <row r="789">
          <cell r="E789" t="str">
            <v>Bela Vista</v>
          </cell>
        </row>
        <row r="790">
          <cell r="E790" t="str">
            <v>Bodoquena</v>
          </cell>
        </row>
        <row r="791">
          <cell r="E791" t="str">
            <v>Bonito</v>
          </cell>
        </row>
        <row r="792">
          <cell r="E792" t="str">
            <v>Brasilândia</v>
          </cell>
        </row>
        <row r="793">
          <cell r="E793" t="str">
            <v>Caarapó</v>
          </cell>
        </row>
        <row r="794">
          <cell r="E794" t="str">
            <v>Camapuã</v>
          </cell>
        </row>
        <row r="795">
          <cell r="E795" t="str">
            <v>Campo Grande</v>
          </cell>
        </row>
        <row r="796">
          <cell r="E796" t="str">
            <v>Caracol</v>
          </cell>
        </row>
        <row r="797">
          <cell r="E797" t="str">
            <v>Cassilândia</v>
          </cell>
        </row>
        <row r="798">
          <cell r="E798" t="str">
            <v>Chapadão do Sul</v>
          </cell>
        </row>
        <row r="799">
          <cell r="E799" t="str">
            <v>Corguinho</v>
          </cell>
        </row>
        <row r="800">
          <cell r="E800" t="str">
            <v>Coronel Sapucaia</v>
          </cell>
        </row>
        <row r="801">
          <cell r="E801" t="str">
            <v>Corumbá</v>
          </cell>
        </row>
        <row r="802">
          <cell r="E802" t="str">
            <v>Costa Rica</v>
          </cell>
        </row>
        <row r="803">
          <cell r="E803" t="str">
            <v>Coxim</v>
          </cell>
        </row>
        <row r="804">
          <cell r="E804" t="str">
            <v>Deodápolis</v>
          </cell>
        </row>
        <row r="805">
          <cell r="E805" t="str">
            <v>Dois Irmãos do Buriti</v>
          </cell>
        </row>
        <row r="806">
          <cell r="E806" t="str">
            <v>Douradina</v>
          </cell>
        </row>
        <row r="807">
          <cell r="E807" t="str">
            <v>Dourados</v>
          </cell>
        </row>
        <row r="808">
          <cell r="E808" t="str">
            <v>Eldorado</v>
          </cell>
        </row>
        <row r="809">
          <cell r="E809" t="str">
            <v>Fátima do Sul</v>
          </cell>
        </row>
        <row r="810">
          <cell r="E810" t="str">
            <v>Glória de Dourados</v>
          </cell>
        </row>
        <row r="811">
          <cell r="E811" t="str">
            <v>Guia Lopes da Laguna</v>
          </cell>
        </row>
        <row r="812">
          <cell r="E812" t="str">
            <v>Iguatemi</v>
          </cell>
        </row>
        <row r="813">
          <cell r="E813" t="str">
            <v>Inocência</v>
          </cell>
        </row>
        <row r="814">
          <cell r="E814" t="str">
            <v>Itaporã</v>
          </cell>
        </row>
        <row r="815">
          <cell r="E815" t="str">
            <v>Itaquiraí</v>
          </cell>
        </row>
        <row r="816">
          <cell r="E816" t="str">
            <v>Ivinhema</v>
          </cell>
        </row>
        <row r="817">
          <cell r="E817" t="str">
            <v>Japorã</v>
          </cell>
        </row>
        <row r="818">
          <cell r="E818" t="str">
            <v>Jaraguari</v>
          </cell>
        </row>
        <row r="819">
          <cell r="E819" t="str">
            <v>Jardim</v>
          </cell>
        </row>
        <row r="820">
          <cell r="E820" t="str">
            <v>Jateí</v>
          </cell>
        </row>
        <row r="821">
          <cell r="E821" t="str">
            <v>Juti</v>
          </cell>
        </row>
        <row r="822">
          <cell r="E822" t="str">
            <v>Ladário</v>
          </cell>
        </row>
        <row r="823">
          <cell r="E823" t="str">
            <v>Laguna Carapã</v>
          </cell>
        </row>
        <row r="824">
          <cell r="E824" t="str">
            <v>Maracaju</v>
          </cell>
        </row>
        <row r="825">
          <cell r="E825" t="str">
            <v>Miranda</v>
          </cell>
        </row>
        <row r="826">
          <cell r="E826" t="str">
            <v>Mundo Novo</v>
          </cell>
        </row>
        <row r="827">
          <cell r="E827" t="str">
            <v>Naviraí</v>
          </cell>
        </row>
        <row r="828">
          <cell r="E828" t="str">
            <v>Nioaque</v>
          </cell>
        </row>
        <row r="829">
          <cell r="E829" t="str">
            <v>Nova Alvorada do Sul</v>
          </cell>
        </row>
        <row r="830">
          <cell r="E830" t="str">
            <v>Nova Andradina</v>
          </cell>
        </row>
        <row r="831">
          <cell r="E831" t="str">
            <v>Novo Horizonte do Sul</v>
          </cell>
        </row>
        <row r="832">
          <cell r="E832" t="str">
            <v>Paranaíba</v>
          </cell>
        </row>
        <row r="833">
          <cell r="E833" t="str">
            <v>Paranhos</v>
          </cell>
        </row>
        <row r="834">
          <cell r="E834" t="str">
            <v>Pedro Gomes</v>
          </cell>
        </row>
        <row r="835">
          <cell r="E835" t="str">
            <v>Ponta Porã</v>
          </cell>
        </row>
        <row r="836">
          <cell r="E836" t="str">
            <v>Porto Murtinho</v>
          </cell>
        </row>
        <row r="837">
          <cell r="E837" t="str">
            <v>Ribas do Rio Pardo</v>
          </cell>
        </row>
        <row r="838">
          <cell r="E838" t="str">
            <v>Rio Brilhante</v>
          </cell>
        </row>
        <row r="839">
          <cell r="E839" t="str">
            <v>Rio Negro</v>
          </cell>
        </row>
        <row r="840">
          <cell r="E840" t="str">
            <v>Rio Verde de Mato Grosso</v>
          </cell>
        </row>
        <row r="841">
          <cell r="E841" t="str">
            <v>Rochedo</v>
          </cell>
        </row>
        <row r="842">
          <cell r="E842" t="str">
            <v>Santa Rita do Pardo</v>
          </cell>
        </row>
        <row r="843">
          <cell r="E843" t="str">
            <v>São Gabriel do Oeste</v>
          </cell>
        </row>
        <row r="844">
          <cell r="E844" t="str">
            <v>Selvíria</v>
          </cell>
        </row>
        <row r="845">
          <cell r="E845" t="str">
            <v>Sete Quedas</v>
          </cell>
        </row>
        <row r="846">
          <cell r="E846" t="str">
            <v>Sidrolândia</v>
          </cell>
        </row>
        <row r="847">
          <cell r="E847" t="str">
            <v>Sonora</v>
          </cell>
        </row>
        <row r="848">
          <cell r="E848" t="str">
            <v>Tacuru</v>
          </cell>
        </row>
        <row r="849">
          <cell r="E849" t="str">
            <v>Taquarussu</v>
          </cell>
        </row>
        <row r="850">
          <cell r="E850" t="str">
            <v>Terenos</v>
          </cell>
        </row>
        <row r="851">
          <cell r="E851" t="str">
            <v>Três Lagoas</v>
          </cell>
        </row>
        <row r="852">
          <cell r="E852" t="str">
            <v>Vicentina</v>
          </cell>
        </row>
        <row r="857">
          <cell r="E857" t="str">
            <v>Acorizal</v>
          </cell>
        </row>
        <row r="858">
          <cell r="E858" t="str">
            <v>Água Boa</v>
          </cell>
        </row>
        <row r="859">
          <cell r="E859" t="str">
            <v>Alta Floresta</v>
          </cell>
        </row>
        <row r="860">
          <cell r="E860" t="str">
            <v>Alto Araguaia</v>
          </cell>
        </row>
        <row r="861">
          <cell r="E861" t="str">
            <v>Alto Boa Vista</v>
          </cell>
        </row>
        <row r="862">
          <cell r="E862" t="str">
            <v>Alto Garças</v>
          </cell>
        </row>
        <row r="863">
          <cell r="E863" t="str">
            <v>Alto Paraguai</v>
          </cell>
        </row>
        <row r="864">
          <cell r="E864" t="str">
            <v>Alto Taquari</v>
          </cell>
        </row>
        <row r="865">
          <cell r="E865" t="str">
            <v>Apiacás</v>
          </cell>
        </row>
        <row r="866">
          <cell r="E866" t="str">
            <v>Araguaiana</v>
          </cell>
        </row>
        <row r="867">
          <cell r="E867" t="str">
            <v>Araguainha</v>
          </cell>
        </row>
        <row r="868">
          <cell r="E868" t="str">
            <v>Araputanga</v>
          </cell>
        </row>
        <row r="869">
          <cell r="E869" t="str">
            <v>Arenápolis</v>
          </cell>
        </row>
        <row r="870">
          <cell r="E870" t="str">
            <v>Aripuanã</v>
          </cell>
        </row>
        <row r="871">
          <cell r="E871" t="str">
            <v>Barão de Melgaço</v>
          </cell>
        </row>
        <row r="872">
          <cell r="E872" t="str">
            <v>Barra do Bugres</v>
          </cell>
        </row>
        <row r="873">
          <cell r="E873" t="str">
            <v>Barra do Garças</v>
          </cell>
        </row>
        <row r="874">
          <cell r="E874" t="str">
            <v>Brasnorte</v>
          </cell>
        </row>
        <row r="875">
          <cell r="E875" t="str">
            <v>Cáceres</v>
          </cell>
        </row>
        <row r="876">
          <cell r="E876" t="str">
            <v>Campinápolis</v>
          </cell>
        </row>
        <row r="877">
          <cell r="E877" t="str">
            <v>Campo Novo do Parecis</v>
          </cell>
        </row>
        <row r="878">
          <cell r="E878" t="str">
            <v>Campo Verde</v>
          </cell>
        </row>
        <row r="879">
          <cell r="E879" t="str">
            <v>Campos de Júlio</v>
          </cell>
        </row>
        <row r="880">
          <cell r="E880" t="str">
            <v>Canabrava do Norte</v>
          </cell>
        </row>
        <row r="881">
          <cell r="E881" t="str">
            <v>Canarana</v>
          </cell>
        </row>
        <row r="882">
          <cell r="E882" t="str">
            <v>Carlinda</v>
          </cell>
        </row>
        <row r="883">
          <cell r="E883" t="str">
            <v>Castanheira</v>
          </cell>
        </row>
        <row r="884">
          <cell r="E884" t="str">
            <v>Chapada dos Guimarães</v>
          </cell>
        </row>
        <row r="885">
          <cell r="E885" t="str">
            <v>Cláudia</v>
          </cell>
        </row>
        <row r="886">
          <cell r="E886" t="str">
            <v>Cocalinho</v>
          </cell>
        </row>
        <row r="887">
          <cell r="E887" t="str">
            <v>Colíder</v>
          </cell>
        </row>
        <row r="888">
          <cell r="E888" t="str">
            <v>Comodoro</v>
          </cell>
        </row>
        <row r="889">
          <cell r="E889" t="str">
            <v>Confresa</v>
          </cell>
        </row>
        <row r="890">
          <cell r="E890" t="str">
            <v>Cotriguaçu</v>
          </cell>
        </row>
        <row r="891">
          <cell r="E891" t="str">
            <v>Cuiabá</v>
          </cell>
        </row>
        <row r="892">
          <cell r="E892" t="str">
            <v>Denise</v>
          </cell>
        </row>
        <row r="893">
          <cell r="E893" t="str">
            <v>Diamantino</v>
          </cell>
        </row>
        <row r="894">
          <cell r="E894" t="str">
            <v>Dom Aquino</v>
          </cell>
        </row>
        <row r="895">
          <cell r="E895" t="str">
            <v>Feliz Natal</v>
          </cell>
        </row>
        <row r="896">
          <cell r="E896" t="str">
            <v>Figueirópolis D'Oeste</v>
          </cell>
        </row>
        <row r="897">
          <cell r="E897" t="str">
            <v>Gaúcha do Norte</v>
          </cell>
        </row>
        <row r="898">
          <cell r="E898" t="str">
            <v>General Carneiro</v>
          </cell>
        </row>
        <row r="899">
          <cell r="E899" t="str">
            <v>Glória D'Oeste</v>
          </cell>
        </row>
        <row r="900">
          <cell r="E900" t="str">
            <v>Guarantã do Norte</v>
          </cell>
        </row>
        <row r="901">
          <cell r="E901" t="str">
            <v>Guiratinga</v>
          </cell>
        </row>
        <row r="902">
          <cell r="E902" t="str">
            <v>Indiavaí</v>
          </cell>
        </row>
        <row r="903">
          <cell r="E903" t="str">
            <v>Itaúba</v>
          </cell>
        </row>
        <row r="904">
          <cell r="E904" t="str">
            <v>Itiquira</v>
          </cell>
        </row>
        <row r="905">
          <cell r="E905" t="str">
            <v>Jaciara</v>
          </cell>
        </row>
        <row r="906">
          <cell r="E906" t="str">
            <v>Jangada</v>
          </cell>
        </row>
        <row r="907">
          <cell r="E907" t="str">
            <v>Jauru</v>
          </cell>
        </row>
        <row r="908">
          <cell r="E908" t="str">
            <v>Juara</v>
          </cell>
        </row>
        <row r="909">
          <cell r="E909" t="str">
            <v>Juína</v>
          </cell>
        </row>
        <row r="910">
          <cell r="E910" t="str">
            <v>Juruena</v>
          </cell>
        </row>
        <row r="911">
          <cell r="E911" t="str">
            <v>Juscimeira</v>
          </cell>
        </row>
        <row r="912">
          <cell r="E912" t="str">
            <v>Lambari D'Oeste</v>
          </cell>
        </row>
        <row r="913">
          <cell r="E913" t="str">
            <v>Lucas do Rio Verde</v>
          </cell>
        </row>
        <row r="914">
          <cell r="E914" t="str">
            <v>Luciára</v>
          </cell>
        </row>
        <row r="915">
          <cell r="E915" t="str">
            <v>Marcelândia</v>
          </cell>
        </row>
        <row r="916">
          <cell r="E916" t="str">
            <v>Matupá</v>
          </cell>
        </row>
        <row r="917">
          <cell r="E917" t="str">
            <v>Mirassol d'Oeste</v>
          </cell>
        </row>
        <row r="918">
          <cell r="E918" t="str">
            <v>Nobres</v>
          </cell>
        </row>
        <row r="919">
          <cell r="E919" t="str">
            <v>Nortelândia</v>
          </cell>
        </row>
        <row r="920">
          <cell r="E920" t="str">
            <v>Nossa Senhora do Livramento</v>
          </cell>
        </row>
        <row r="921">
          <cell r="E921" t="str">
            <v>Nova Bandeirantes</v>
          </cell>
        </row>
        <row r="922">
          <cell r="E922" t="str">
            <v>Nova Brasilândia</v>
          </cell>
        </row>
        <row r="923">
          <cell r="E923" t="str">
            <v>Nova Canaã do Norte</v>
          </cell>
        </row>
        <row r="924">
          <cell r="E924" t="str">
            <v>Nova Guarita</v>
          </cell>
        </row>
        <row r="925">
          <cell r="E925" t="str">
            <v>Nova Lacerda</v>
          </cell>
        </row>
        <row r="926">
          <cell r="E926" t="str">
            <v>Nova Marilândia</v>
          </cell>
        </row>
        <row r="927">
          <cell r="E927" t="str">
            <v>Nova Maringá</v>
          </cell>
        </row>
        <row r="928">
          <cell r="E928" t="str">
            <v>Nova Monte Verde</v>
          </cell>
        </row>
        <row r="929">
          <cell r="E929" t="str">
            <v>Nova Mutum</v>
          </cell>
        </row>
        <row r="930">
          <cell r="E930" t="str">
            <v>Nova Olímpia</v>
          </cell>
        </row>
        <row r="931">
          <cell r="E931" t="str">
            <v>Nova Ubiratã</v>
          </cell>
        </row>
        <row r="932">
          <cell r="E932" t="str">
            <v>Nova Xavantina</v>
          </cell>
        </row>
        <row r="933">
          <cell r="E933" t="str">
            <v>Novo Horizonte do Norte</v>
          </cell>
        </row>
        <row r="934">
          <cell r="E934" t="str">
            <v>Novo Mundo</v>
          </cell>
        </row>
        <row r="935">
          <cell r="E935" t="str">
            <v>Novo São Joaquim</v>
          </cell>
        </row>
        <row r="936">
          <cell r="E936" t="str">
            <v>Paranaíta</v>
          </cell>
        </row>
        <row r="937">
          <cell r="E937" t="str">
            <v>Paranatinga</v>
          </cell>
        </row>
        <row r="938">
          <cell r="E938" t="str">
            <v>Pedra Preta</v>
          </cell>
        </row>
        <row r="939">
          <cell r="E939" t="str">
            <v>Peixoto de Azevedo</v>
          </cell>
        </row>
        <row r="940">
          <cell r="E940" t="str">
            <v>Planalto da Serra</v>
          </cell>
        </row>
        <row r="941">
          <cell r="E941" t="str">
            <v>Poconé</v>
          </cell>
        </row>
        <row r="942">
          <cell r="E942" t="str">
            <v>Pontal do Araguaia</v>
          </cell>
        </row>
        <row r="943">
          <cell r="E943" t="str">
            <v>Ponte Branca</v>
          </cell>
        </row>
        <row r="944">
          <cell r="E944" t="str">
            <v>Pontes e Lacerda</v>
          </cell>
        </row>
        <row r="945">
          <cell r="E945" t="str">
            <v>Porto Alegre do Norte</v>
          </cell>
        </row>
        <row r="946">
          <cell r="E946" t="str">
            <v>Porto dos Gaúchos</v>
          </cell>
        </row>
        <row r="947">
          <cell r="E947" t="str">
            <v>Porto Esperidião</v>
          </cell>
        </row>
        <row r="948">
          <cell r="E948" t="str">
            <v>Porto Estrela</v>
          </cell>
        </row>
        <row r="949">
          <cell r="E949" t="str">
            <v>Poxoréo</v>
          </cell>
        </row>
        <row r="950">
          <cell r="E950" t="str">
            <v>Primavera do Leste</v>
          </cell>
        </row>
        <row r="951">
          <cell r="E951" t="str">
            <v>Querência</v>
          </cell>
        </row>
        <row r="952">
          <cell r="E952" t="str">
            <v>Reserva do Cabaçal</v>
          </cell>
        </row>
        <row r="953">
          <cell r="E953" t="str">
            <v>Ribeirão Cascalheira</v>
          </cell>
        </row>
        <row r="954">
          <cell r="E954" t="str">
            <v>Ribeirãozinho</v>
          </cell>
        </row>
        <row r="955">
          <cell r="E955" t="str">
            <v>Rio Branco</v>
          </cell>
        </row>
        <row r="956">
          <cell r="E956" t="str">
            <v>Rondonópolis</v>
          </cell>
        </row>
        <row r="957">
          <cell r="E957" t="str">
            <v>Rosário Oeste</v>
          </cell>
        </row>
        <row r="958">
          <cell r="E958" t="str">
            <v>Salto do Céu</v>
          </cell>
        </row>
        <row r="959">
          <cell r="E959" t="str">
            <v>Santa Carmem</v>
          </cell>
        </row>
        <row r="960">
          <cell r="E960" t="str">
            <v>Santa Terezinha</v>
          </cell>
        </row>
        <row r="961">
          <cell r="E961" t="str">
            <v>Santo Afonso</v>
          </cell>
        </row>
        <row r="962">
          <cell r="E962" t="str">
            <v>Santo Antônio do Leverger</v>
          </cell>
        </row>
        <row r="963">
          <cell r="E963" t="str">
            <v>São Félix do Araguaia</v>
          </cell>
        </row>
        <row r="964">
          <cell r="E964" t="str">
            <v>São José do Povo</v>
          </cell>
        </row>
        <row r="965">
          <cell r="E965" t="str">
            <v>São José do Rio Claro</v>
          </cell>
        </row>
        <row r="966">
          <cell r="E966" t="str">
            <v>São José do Xingu</v>
          </cell>
        </row>
        <row r="967">
          <cell r="E967" t="str">
            <v>São José dos Quatro Marcos</v>
          </cell>
        </row>
        <row r="968">
          <cell r="E968" t="str">
            <v>São Pedro da Cipa</v>
          </cell>
        </row>
        <row r="969">
          <cell r="E969" t="str">
            <v>Sapezal</v>
          </cell>
        </row>
        <row r="970">
          <cell r="E970" t="str">
            <v>Sinop</v>
          </cell>
        </row>
        <row r="971">
          <cell r="E971" t="str">
            <v>Sorriso</v>
          </cell>
        </row>
        <row r="972">
          <cell r="E972" t="str">
            <v>Tabaporã</v>
          </cell>
        </row>
        <row r="973">
          <cell r="E973" t="str">
            <v>Tangará da Serra</v>
          </cell>
        </row>
        <row r="974">
          <cell r="E974" t="str">
            <v>Tapurah</v>
          </cell>
        </row>
        <row r="975">
          <cell r="E975" t="str">
            <v>Terra Nova do Norte</v>
          </cell>
        </row>
        <row r="976">
          <cell r="E976" t="str">
            <v>Tesouro</v>
          </cell>
        </row>
        <row r="977">
          <cell r="E977" t="str">
            <v>Torixoréu</v>
          </cell>
        </row>
        <row r="978">
          <cell r="E978" t="str">
            <v>União do Sul</v>
          </cell>
        </row>
        <row r="979">
          <cell r="E979" t="str">
            <v>Várzea Grande</v>
          </cell>
        </row>
        <row r="980">
          <cell r="E980" t="str">
            <v>Vera</v>
          </cell>
        </row>
        <row r="981">
          <cell r="E981" t="str">
            <v>Vila Bela da Santíssima Trindade</v>
          </cell>
        </row>
        <row r="982">
          <cell r="E982" t="str">
            <v>Vila Rica</v>
          </cell>
        </row>
        <row r="986">
          <cell r="E986" t="str">
            <v>Abatiá</v>
          </cell>
        </row>
        <row r="987">
          <cell r="E987" t="str">
            <v>Adrianópolis</v>
          </cell>
        </row>
        <row r="988">
          <cell r="E988" t="str">
            <v>Agudos do Sul</v>
          </cell>
        </row>
        <row r="989">
          <cell r="E989" t="str">
            <v>Almirante Tamandaré</v>
          </cell>
        </row>
        <row r="990">
          <cell r="E990" t="str">
            <v>Altamira do Paraná</v>
          </cell>
        </row>
        <row r="991">
          <cell r="E991" t="str">
            <v>Alto Paraná</v>
          </cell>
        </row>
        <row r="992">
          <cell r="E992" t="str">
            <v>Alto Piquiri</v>
          </cell>
        </row>
        <row r="993">
          <cell r="E993" t="str">
            <v>Altônia</v>
          </cell>
        </row>
        <row r="994">
          <cell r="E994" t="str">
            <v>Alvorada do Sul</v>
          </cell>
        </row>
        <row r="995">
          <cell r="E995" t="str">
            <v>Amaporã</v>
          </cell>
        </row>
        <row r="996">
          <cell r="E996" t="str">
            <v>Ampére</v>
          </cell>
        </row>
        <row r="997">
          <cell r="E997" t="str">
            <v>Anahy</v>
          </cell>
        </row>
        <row r="998">
          <cell r="E998" t="str">
            <v>Andirá</v>
          </cell>
        </row>
        <row r="999">
          <cell r="E999" t="str">
            <v>Ângulo</v>
          </cell>
        </row>
        <row r="1000">
          <cell r="E1000" t="str">
            <v>Antonina</v>
          </cell>
        </row>
        <row r="1001">
          <cell r="E1001" t="str">
            <v>Antônio Olinto</v>
          </cell>
        </row>
        <row r="1002">
          <cell r="E1002" t="str">
            <v>Apucarana</v>
          </cell>
        </row>
        <row r="1003">
          <cell r="E1003" t="str">
            <v>Arapongas</v>
          </cell>
        </row>
        <row r="1004">
          <cell r="E1004" t="str">
            <v>Arapoti</v>
          </cell>
        </row>
        <row r="1005">
          <cell r="E1005" t="str">
            <v>Arapuã</v>
          </cell>
        </row>
        <row r="1006">
          <cell r="E1006" t="str">
            <v>Araruna</v>
          </cell>
        </row>
        <row r="1007">
          <cell r="E1007" t="str">
            <v>Araucária</v>
          </cell>
        </row>
        <row r="1008">
          <cell r="E1008" t="str">
            <v>Ariranha do Ivaí</v>
          </cell>
        </row>
        <row r="1009">
          <cell r="E1009" t="str">
            <v>Assaí</v>
          </cell>
        </row>
        <row r="1010">
          <cell r="E1010" t="str">
            <v>Assis Chateaubriand</v>
          </cell>
        </row>
        <row r="1011">
          <cell r="E1011" t="str">
            <v>Astorga</v>
          </cell>
        </row>
        <row r="1012">
          <cell r="E1012" t="str">
            <v>Atalaia</v>
          </cell>
        </row>
        <row r="1013">
          <cell r="E1013" t="str">
            <v>Balsa Nova</v>
          </cell>
        </row>
        <row r="1014">
          <cell r="E1014" t="str">
            <v>Bandeirantes</v>
          </cell>
        </row>
        <row r="1015">
          <cell r="E1015" t="str">
            <v>Barbosa Ferraz</v>
          </cell>
        </row>
        <row r="1016">
          <cell r="E1016" t="str">
            <v>Barra do Jacaré</v>
          </cell>
        </row>
        <row r="1017">
          <cell r="E1017" t="str">
            <v>Barracão</v>
          </cell>
        </row>
        <row r="1018">
          <cell r="E1018" t="str">
            <v>Bela Vista da Caroba</v>
          </cell>
        </row>
        <row r="1019">
          <cell r="E1019" t="str">
            <v>Bela Vista do Paraíso</v>
          </cell>
        </row>
        <row r="1020">
          <cell r="E1020" t="str">
            <v>Bituruna</v>
          </cell>
        </row>
        <row r="1021">
          <cell r="E1021" t="str">
            <v>Boa Esperança</v>
          </cell>
        </row>
        <row r="1022">
          <cell r="E1022" t="str">
            <v>Boa Esperança do Iguaçu</v>
          </cell>
        </row>
        <row r="1023">
          <cell r="E1023" t="str">
            <v>Boa Ventura de São Roque</v>
          </cell>
        </row>
        <row r="1024">
          <cell r="E1024" t="str">
            <v>Boa Vista da Aparecida</v>
          </cell>
        </row>
        <row r="1025">
          <cell r="E1025" t="str">
            <v>Bocaiúva do Sul</v>
          </cell>
        </row>
        <row r="1026">
          <cell r="E1026" t="str">
            <v>Bom Jesus do Sul</v>
          </cell>
        </row>
        <row r="1027">
          <cell r="E1027" t="str">
            <v>Bom Sucesso</v>
          </cell>
        </row>
        <row r="1028">
          <cell r="E1028" t="str">
            <v>Bom Sucesso do Sul</v>
          </cell>
        </row>
        <row r="1029">
          <cell r="E1029" t="str">
            <v>Borrazópolis</v>
          </cell>
        </row>
        <row r="1030">
          <cell r="E1030" t="str">
            <v>Braganey</v>
          </cell>
        </row>
        <row r="1031">
          <cell r="E1031" t="str">
            <v>Brasilândia do Sul</v>
          </cell>
        </row>
        <row r="1032">
          <cell r="E1032" t="str">
            <v>Cafeara</v>
          </cell>
        </row>
        <row r="1033">
          <cell r="E1033" t="str">
            <v>Cafelândia</v>
          </cell>
        </row>
        <row r="1034">
          <cell r="E1034" t="str">
            <v>Cafezal do Sul</v>
          </cell>
        </row>
        <row r="1035">
          <cell r="E1035" t="str">
            <v>Califórnia</v>
          </cell>
        </row>
        <row r="1036">
          <cell r="E1036" t="str">
            <v>Cambará</v>
          </cell>
        </row>
        <row r="1037">
          <cell r="E1037" t="str">
            <v>Cambé</v>
          </cell>
        </row>
        <row r="1038">
          <cell r="E1038" t="str">
            <v>Cambira</v>
          </cell>
        </row>
        <row r="1039">
          <cell r="E1039" t="str">
            <v>Campina da Lagoa</v>
          </cell>
        </row>
        <row r="1040">
          <cell r="E1040" t="str">
            <v>Campina do Simão</v>
          </cell>
        </row>
        <row r="1041">
          <cell r="E1041" t="str">
            <v>Campina Grande do Sul</v>
          </cell>
        </row>
        <row r="1042">
          <cell r="E1042" t="str">
            <v>Campo Bonito</v>
          </cell>
        </row>
        <row r="1043">
          <cell r="E1043" t="str">
            <v>Campo do Tenente</v>
          </cell>
        </row>
        <row r="1044">
          <cell r="E1044" t="str">
            <v>Campo Largo</v>
          </cell>
        </row>
        <row r="1045">
          <cell r="E1045" t="str">
            <v>Campo Magro</v>
          </cell>
        </row>
        <row r="1046">
          <cell r="E1046" t="str">
            <v>Campo Mourão</v>
          </cell>
        </row>
        <row r="1047">
          <cell r="E1047" t="str">
            <v>Cândido de Abreu</v>
          </cell>
        </row>
        <row r="1048">
          <cell r="E1048" t="str">
            <v>Candói</v>
          </cell>
        </row>
        <row r="1049">
          <cell r="E1049" t="str">
            <v>Cantagalo</v>
          </cell>
        </row>
        <row r="1050">
          <cell r="E1050" t="str">
            <v>Capanema</v>
          </cell>
        </row>
        <row r="1051">
          <cell r="E1051" t="str">
            <v>Capitão Leônidas Marques</v>
          </cell>
        </row>
        <row r="1052">
          <cell r="E1052" t="str">
            <v>Carambeí</v>
          </cell>
        </row>
        <row r="1053">
          <cell r="E1053" t="str">
            <v>Carlópolis</v>
          </cell>
        </row>
        <row r="1054">
          <cell r="E1054" t="str">
            <v>Cascavel</v>
          </cell>
        </row>
        <row r="1055">
          <cell r="E1055" t="str">
            <v>Castro</v>
          </cell>
        </row>
        <row r="1056">
          <cell r="E1056" t="str">
            <v>Catanduvas</v>
          </cell>
        </row>
        <row r="1057">
          <cell r="E1057" t="str">
            <v>Centenário do Sul</v>
          </cell>
        </row>
        <row r="1058">
          <cell r="E1058" t="str">
            <v>Cerro Azul</v>
          </cell>
        </row>
        <row r="1059">
          <cell r="E1059" t="str">
            <v>Céu Azul</v>
          </cell>
        </row>
        <row r="1060">
          <cell r="E1060" t="str">
            <v>Chopinzinho</v>
          </cell>
        </row>
        <row r="1061">
          <cell r="E1061" t="str">
            <v>Cianorte</v>
          </cell>
        </row>
        <row r="1062">
          <cell r="E1062" t="str">
            <v>Cidade Gaúcha</v>
          </cell>
        </row>
        <row r="1063">
          <cell r="E1063" t="str">
            <v>Clevelândia</v>
          </cell>
        </row>
        <row r="1064">
          <cell r="E1064" t="str">
            <v>Colombo</v>
          </cell>
        </row>
        <row r="1065">
          <cell r="E1065" t="str">
            <v>Colorado</v>
          </cell>
        </row>
        <row r="1066">
          <cell r="E1066" t="str">
            <v>Congonhinhas</v>
          </cell>
        </row>
        <row r="1067">
          <cell r="E1067" t="str">
            <v>Conselheiro Mairinck</v>
          </cell>
        </row>
        <row r="1068">
          <cell r="E1068" t="str">
            <v>Contenda</v>
          </cell>
        </row>
        <row r="1069">
          <cell r="E1069" t="str">
            <v>Corbélia</v>
          </cell>
        </row>
        <row r="1070">
          <cell r="E1070" t="str">
            <v>Cornélio Procópio</v>
          </cell>
        </row>
        <row r="1071">
          <cell r="E1071" t="str">
            <v>Coronel Domingos Soares</v>
          </cell>
        </row>
        <row r="1072">
          <cell r="E1072" t="str">
            <v>Coronel Vivida</v>
          </cell>
        </row>
        <row r="1073">
          <cell r="E1073" t="str">
            <v>Corumbataí do Sul</v>
          </cell>
        </row>
        <row r="1074">
          <cell r="E1074" t="str">
            <v>Cruz Machado</v>
          </cell>
        </row>
        <row r="1075">
          <cell r="E1075" t="str">
            <v>Cruzeiro do Iguaçu</v>
          </cell>
        </row>
        <row r="1076">
          <cell r="E1076" t="str">
            <v>Cruzeiro do Oeste</v>
          </cell>
        </row>
        <row r="1077">
          <cell r="E1077" t="str">
            <v>Cruzeiro do Sul</v>
          </cell>
        </row>
        <row r="1078">
          <cell r="E1078" t="str">
            <v>Cruzmaltina</v>
          </cell>
        </row>
        <row r="1079">
          <cell r="E1079" t="str">
            <v>Curitiba</v>
          </cell>
        </row>
        <row r="1080">
          <cell r="E1080" t="str">
            <v>Curiúva</v>
          </cell>
        </row>
        <row r="1081">
          <cell r="E1081" t="str">
            <v>Diamante do Norte</v>
          </cell>
        </row>
        <row r="1082">
          <cell r="E1082" t="str">
            <v>Diamante do Sul</v>
          </cell>
        </row>
        <row r="1083">
          <cell r="E1083" t="str">
            <v>Diamante D'Oeste</v>
          </cell>
        </row>
        <row r="1084">
          <cell r="E1084" t="str">
            <v>Dois Vizinhos</v>
          </cell>
        </row>
        <row r="1085">
          <cell r="E1085" t="str">
            <v>Douradina</v>
          </cell>
        </row>
        <row r="1086">
          <cell r="E1086" t="str">
            <v>Doutor Camargo</v>
          </cell>
        </row>
        <row r="1087">
          <cell r="E1087" t="str">
            <v>Doutor Ulysses</v>
          </cell>
        </row>
        <row r="1088">
          <cell r="E1088" t="str">
            <v>Enéas Marques</v>
          </cell>
        </row>
        <row r="1089">
          <cell r="E1089" t="str">
            <v>Engenheiro Beltrão</v>
          </cell>
        </row>
        <row r="1090">
          <cell r="E1090" t="str">
            <v>Entre Rios do Oeste</v>
          </cell>
        </row>
        <row r="1091">
          <cell r="E1091" t="str">
            <v>Esperança Nova</v>
          </cell>
        </row>
        <row r="1092">
          <cell r="E1092" t="str">
            <v>Espigão Alto do Iguaçu</v>
          </cell>
        </row>
        <row r="1093">
          <cell r="E1093" t="str">
            <v>Farol</v>
          </cell>
        </row>
        <row r="1094">
          <cell r="E1094" t="str">
            <v>Faxinal</v>
          </cell>
        </row>
        <row r="1095">
          <cell r="E1095" t="str">
            <v>Fazenda Rio Grande</v>
          </cell>
        </row>
        <row r="1096">
          <cell r="E1096" t="str">
            <v>Fênix</v>
          </cell>
        </row>
        <row r="1097">
          <cell r="E1097" t="str">
            <v>Fernandes Pinheiro</v>
          </cell>
        </row>
        <row r="1098">
          <cell r="E1098" t="str">
            <v>Figueira</v>
          </cell>
        </row>
        <row r="1099">
          <cell r="E1099" t="str">
            <v>Flor da Serra do Sul</v>
          </cell>
        </row>
        <row r="1100">
          <cell r="E1100" t="str">
            <v>Floraí</v>
          </cell>
        </row>
        <row r="1101">
          <cell r="E1101" t="str">
            <v>Floresta</v>
          </cell>
        </row>
        <row r="1102">
          <cell r="E1102" t="str">
            <v>Florestópolis</v>
          </cell>
        </row>
        <row r="1103">
          <cell r="E1103" t="str">
            <v>Flórida</v>
          </cell>
        </row>
        <row r="1104">
          <cell r="E1104" t="str">
            <v>Formosa do Oeste</v>
          </cell>
        </row>
        <row r="1105">
          <cell r="E1105" t="str">
            <v>Foz do Iguaçu</v>
          </cell>
        </row>
        <row r="1106">
          <cell r="E1106" t="str">
            <v>Foz do Jordão</v>
          </cell>
        </row>
        <row r="1107">
          <cell r="E1107" t="str">
            <v>Francisco Alves</v>
          </cell>
        </row>
        <row r="1108">
          <cell r="E1108" t="str">
            <v>Francisco Beltrão</v>
          </cell>
        </row>
        <row r="1109">
          <cell r="E1109" t="str">
            <v>General Carneiro</v>
          </cell>
        </row>
        <row r="1110">
          <cell r="E1110" t="str">
            <v>Godoy Moreira</v>
          </cell>
        </row>
        <row r="1111">
          <cell r="E1111" t="str">
            <v>Goioerê</v>
          </cell>
        </row>
        <row r="1112">
          <cell r="E1112" t="str">
            <v>Goioxim</v>
          </cell>
        </row>
        <row r="1113">
          <cell r="E1113" t="str">
            <v>Grandes Rios</v>
          </cell>
        </row>
        <row r="1114">
          <cell r="E1114" t="str">
            <v>Guaíra</v>
          </cell>
        </row>
        <row r="1115">
          <cell r="E1115" t="str">
            <v>Guairaçá</v>
          </cell>
        </row>
        <row r="1116">
          <cell r="E1116" t="str">
            <v>Guamiranga</v>
          </cell>
        </row>
        <row r="1117">
          <cell r="E1117" t="str">
            <v>Guapirama</v>
          </cell>
        </row>
        <row r="1118">
          <cell r="E1118" t="str">
            <v>Guaporema</v>
          </cell>
        </row>
        <row r="1119">
          <cell r="E1119" t="str">
            <v>Guaraci</v>
          </cell>
        </row>
        <row r="1120">
          <cell r="E1120" t="str">
            <v>Guaraniaçu</v>
          </cell>
        </row>
        <row r="1121">
          <cell r="E1121" t="str">
            <v>Guarapuava</v>
          </cell>
        </row>
        <row r="1122">
          <cell r="E1122" t="str">
            <v>Guaraqueçaba</v>
          </cell>
        </row>
        <row r="1123">
          <cell r="E1123" t="str">
            <v>Guaratuba</v>
          </cell>
        </row>
        <row r="1124">
          <cell r="E1124" t="str">
            <v>Honório Serpa</v>
          </cell>
        </row>
        <row r="1125">
          <cell r="E1125" t="str">
            <v>Ibaiti</v>
          </cell>
        </row>
        <row r="1126">
          <cell r="E1126" t="str">
            <v>Ibema</v>
          </cell>
        </row>
        <row r="1127">
          <cell r="E1127" t="str">
            <v>Ibiporã</v>
          </cell>
        </row>
        <row r="1128">
          <cell r="E1128" t="str">
            <v>Icaraíma</v>
          </cell>
        </row>
        <row r="1129">
          <cell r="E1129" t="str">
            <v>Iguaraçu</v>
          </cell>
        </row>
        <row r="1130">
          <cell r="E1130" t="str">
            <v>Iguatu</v>
          </cell>
        </row>
        <row r="1131">
          <cell r="E1131" t="str">
            <v>Imbaú</v>
          </cell>
        </row>
        <row r="1132">
          <cell r="E1132" t="str">
            <v>Imbituva</v>
          </cell>
        </row>
        <row r="1133">
          <cell r="E1133" t="str">
            <v>Inácio Martins</v>
          </cell>
        </row>
        <row r="1134">
          <cell r="E1134" t="str">
            <v>Inajá</v>
          </cell>
        </row>
        <row r="1135">
          <cell r="E1135" t="str">
            <v>Indianópolis</v>
          </cell>
        </row>
        <row r="1136">
          <cell r="E1136" t="str">
            <v>Ipiranga</v>
          </cell>
        </row>
        <row r="1137">
          <cell r="E1137" t="str">
            <v>Iporã</v>
          </cell>
        </row>
        <row r="1138">
          <cell r="E1138" t="str">
            <v>Iracema do Oeste</v>
          </cell>
        </row>
        <row r="1139">
          <cell r="E1139" t="str">
            <v>Irati</v>
          </cell>
        </row>
        <row r="1140">
          <cell r="E1140" t="str">
            <v>Iretama</v>
          </cell>
        </row>
        <row r="1141">
          <cell r="E1141" t="str">
            <v>Itaguajé</v>
          </cell>
        </row>
        <row r="1142">
          <cell r="E1142" t="str">
            <v>Itaipulândia</v>
          </cell>
        </row>
        <row r="1143">
          <cell r="E1143" t="str">
            <v>Itambaracá</v>
          </cell>
        </row>
        <row r="1144">
          <cell r="E1144" t="str">
            <v>Itambé</v>
          </cell>
        </row>
        <row r="1145">
          <cell r="E1145" t="str">
            <v>Itapejara d'Oeste</v>
          </cell>
        </row>
        <row r="1146">
          <cell r="E1146" t="str">
            <v>Itaperuçu</v>
          </cell>
        </row>
        <row r="1147">
          <cell r="E1147" t="str">
            <v>Itaúna do Sul</v>
          </cell>
        </row>
        <row r="1148">
          <cell r="E1148" t="str">
            <v>Ivaí</v>
          </cell>
        </row>
        <row r="1149">
          <cell r="E1149" t="str">
            <v>Ivaiporã</v>
          </cell>
        </row>
        <row r="1150">
          <cell r="E1150" t="str">
            <v>Ivaté</v>
          </cell>
        </row>
        <row r="1151">
          <cell r="E1151" t="str">
            <v>Ivatuba</v>
          </cell>
        </row>
        <row r="1152">
          <cell r="E1152" t="str">
            <v>Jaboti</v>
          </cell>
        </row>
        <row r="1153">
          <cell r="E1153" t="str">
            <v>Jacarezinho</v>
          </cell>
        </row>
        <row r="1154">
          <cell r="E1154" t="str">
            <v>Jaguapitã</v>
          </cell>
        </row>
        <row r="1155">
          <cell r="E1155" t="str">
            <v>Jaguariaíva</v>
          </cell>
        </row>
        <row r="1156">
          <cell r="E1156" t="str">
            <v>Jandaia do Sul</v>
          </cell>
        </row>
        <row r="1157">
          <cell r="E1157" t="str">
            <v>Janiópolis</v>
          </cell>
        </row>
        <row r="1158">
          <cell r="E1158" t="str">
            <v>Japira</v>
          </cell>
        </row>
        <row r="1159">
          <cell r="E1159" t="str">
            <v>Japurá</v>
          </cell>
        </row>
        <row r="1160">
          <cell r="E1160" t="str">
            <v>Jardim Alegre</v>
          </cell>
        </row>
        <row r="1161">
          <cell r="E1161" t="str">
            <v>Jardim Olinda</v>
          </cell>
        </row>
        <row r="1162">
          <cell r="E1162" t="str">
            <v>Jataizinho</v>
          </cell>
        </row>
        <row r="1163">
          <cell r="E1163" t="str">
            <v>Jesuítas</v>
          </cell>
        </row>
        <row r="1164">
          <cell r="E1164" t="str">
            <v>Joaquim Távora</v>
          </cell>
        </row>
        <row r="1165">
          <cell r="E1165" t="str">
            <v>Jundiaí do Sul</v>
          </cell>
        </row>
        <row r="1166">
          <cell r="E1166" t="str">
            <v>Juranda</v>
          </cell>
        </row>
        <row r="1167">
          <cell r="E1167" t="str">
            <v>Jussara</v>
          </cell>
        </row>
        <row r="1168">
          <cell r="E1168" t="str">
            <v>Kaloré</v>
          </cell>
        </row>
        <row r="1169">
          <cell r="E1169" t="str">
            <v>Lapa</v>
          </cell>
        </row>
        <row r="1170">
          <cell r="E1170" t="str">
            <v>Laranjal</v>
          </cell>
        </row>
        <row r="1171">
          <cell r="E1171" t="str">
            <v>Laranjeiras do Sul</v>
          </cell>
        </row>
        <row r="1172">
          <cell r="E1172" t="str">
            <v>Leópolis</v>
          </cell>
        </row>
        <row r="1173">
          <cell r="E1173" t="str">
            <v>Lidianópolis</v>
          </cell>
        </row>
        <row r="1174">
          <cell r="E1174" t="str">
            <v>Lindoeste</v>
          </cell>
        </row>
        <row r="1175">
          <cell r="E1175" t="str">
            <v>Loanda</v>
          </cell>
        </row>
        <row r="1176">
          <cell r="E1176" t="str">
            <v>Lobato</v>
          </cell>
        </row>
        <row r="1177">
          <cell r="E1177" t="str">
            <v>Londrina</v>
          </cell>
        </row>
        <row r="1178">
          <cell r="E1178" t="str">
            <v>Luiziana</v>
          </cell>
        </row>
        <row r="1179">
          <cell r="E1179" t="str">
            <v>Lunardelli</v>
          </cell>
        </row>
        <row r="1180">
          <cell r="E1180" t="str">
            <v>Lupionópolis</v>
          </cell>
        </row>
        <row r="1181">
          <cell r="E1181" t="str">
            <v>Mallet</v>
          </cell>
        </row>
        <row r="1182">
          <cell r="E1182" t="str">
            <v>Mamborê</v>
          </cell>
        </row>
        <row r="1183">
          <cell r="E1183" t="str">
            <v>Mandaguaçu</v>
          </cell>
        </row>
        <row r="1184">
          <cell r="E1184" t="str">
            <v>Mandaguari</v>
          </cell>
        </row>
        <row r="1185">
          <cell r="E1185" t="str">
            <v>Mandirituba</v>
          </cell>
        </row>
        <row r="1186">
          <cell r="E1186" t="str">
            <v>Manfrinópolis</v>
          </cell>
        </row>
        <row r="1187">
          <cell r="E1187" t="str">
            <v>Mangueirinha</v>
          </cell>
        </row>
        <row r="1188">
          <cell r="E1188" t="str">
            <v>Manoel Ribas</v>
          </cell>
        </row>
        <row r="1189">
          <cell r="E1189" t="str">
            <v>Marechal Cândido Rondon</v>
          </cell>
        </row>
        <row r="1190">
          <cell r="E1190" t="str">
            <v>Maria Helena</v>
          </cell>
        </row>
        <row r="1191">
          <cell r="E1191" t="str">
            <v>Marialva</v>
          </cell>
        </row>
        <row r="1192">
          <cell r="E1192" t="str">
            <v>Marilândia do Sul</v>
          </cell>
        </row>
        <row r="1193">
          <cell r="E1193" t="str">
            <v>Marilena</v>
          </cell>
        </row>
        <row r="1194">
          <cell r="E1194" t="str">
            <v>Mariluz</v>
          </cell>
        </row>
        <row r="1195">
          <cell r="E1195" t="str">
            <v>Maringá</v>
          </cell>
        </row>
        <row r="1196">
          <cell r="E1196" t="str">
            <v>Mariópolis</v>
          </cell>
        </row>
        <row r="1197">
          <cell r="E1197" t="str">
            <v>Maripá</v>
          </cell>
        </row>
        <row r="1198">
          <cell r="E1198" t="str">
            <v>Marmeleiro</v>
          </cell>
        </row>
        <row r="1199">
          <cell r="E1199" t="str">
            <v>Marquinho</v>
          </cell>
        </row>
        <row r="1200">
          <cell r="E1200" t="str">
            <v>Marumbi</v>
          </cell>
        </row>
        <row r="1201">
          <cell r="E1201" t="str">
            <v>Matelândia</v>
          </cell>
        </row>
        <row r="1202">
          <cell r="E1202" t="str">
            <v>Matinhos</v>
          </cell>
        </row>
        <row r="1203">
          <cell r="E1203" t="str">
            <v>Mato Rico</v>
          </cell>
        </row>
        <row r="1204">
          <cell r="E1204" t="str">
            <v>Mauá da Serra</v>
          </cell>
        </row>
        <row r="1205">
          <cell r="E1205" t="str">
            <v>Medianeira</v>
          </cell>
        </row>
        <row r="1206">
          <cell r="E1206" t="str">
            <v>Mercedes</v>
          </cell>
        </row>
        <row r="1207">
          <cell r="E1207" t="str">
            <v>Mirador</v>
          </cell>
        </row>
        <row r="1208">
          <cell r="E1208" t="str">
            <v>Miraselva</v>
          </cell>
        </row>
        <row r="1209">
          <cell r="E1209" t="str">
            <v>Missal</v>
          </cell>
        </row>
        <row r="1210">
          <cell r="E1210" t="str">
            <v>Moreira Sales</v>
          </cell>
        </row>
        <row r="1211">
          <cell r="E1211" t="str">
            <v>Morretes</v>
          </cell>
        </row>
        <row r="1212">
          <cell r="E1212" t="str">
            <v>Munhoz de Melo</v>
          </cell>
        </row>
        <row r="1213">
          <cell r="E1213" t="str">
            <v>Nossa Senhora das Graças</v>
          </cell>
        </row>
        <row r="1214">
          <cell r="E1214" t="str">
            <v>Nova Aliança do Ivaí</v>
          </cell>
        </row>
        <row r="1215">
          <cell r="E1215" t="str">
            <v>Nova América da Colina</v>
          </cell>
        </row>
        <row r="1216">
          <cell r="E1216" t="str">
            <v>Nova Aurora</v>
          </cell>
        </row>
        <row r="1217">
          <cell r="E1217" t="str">
            <v>Nova Cantu</v>
          </cell>
        </row>
        <row r="1218">
          <cell r="E1218" t="str">
            <v>Nova Esperança</v>
          </cell>
        </row>
        <row r="1219">
          <cell r="E1219" t="str">
            <v>Nova Esperança do Sudoeste</v>
          </cell>
        </row>
        <row r="1220">
          <cell r="E1220" t="str">
            <v>Nova Fátima</v>
          </cell>
        </row>
        <row r="1221">
          <cell r="E1221" t="str">
            <v>Nova Laranjeiras</v>
          </cell>
        </row>
        <row r="1222">
          <cell r="E1222" t="str">
            <v>Nova Londrina</v>
          </cell>
        </row>
        <row r="1223">
          <cell r="E1223" t="str">
            <v>Nova Olímpia</v>
          </cell>
        </row>
        <row r="1224">
          <cell r="E1224" t="str">
            <v>Nova Prata do Iguaçu</v>
          </cell>
        </row>
        <row r="1225">
          <cell r="E1225" t="str">
            <v>Nova Santa Bárbara</v>
          </cell>
        </row>
        <row r="1226">
          <cell r="E1226" t="str">
            <v>Nova Santa Rosa</v>
          </cell>
        </row>
        <row r="1227">
          <cell r="E1227" t="str">
            <v>Nova Tebas</v>
          </cell>
        </row>
        <row r="1228">
          <cell r="E1228" t="str">
            <v>Novo Itacolomi</v>
          </cell>
        </row>
        <row r="1229">
          <cell r="E1229" t="str">
            <v>Ortigueira</v>
          </cell>
        </row>
        <row r="1230">
          <cell r="E1230" t="str">
            <v>Ourizona</v>
          </cell>
        </row>
        <row r="1231">
          <cell r="E1231" t="str">
            <v>Ouro Verde do Oeste</v>
          </cell>
        </row>
        <row r="1232">
          <cell r="E1232" t="str">
            <v>Paiçandu</v>
          </cell>
        </row>
        <row r="1233">
          <cell r="E1233" t="str">
            <v>Palmas</v>
          </cell>
        </row>
        <row r="1234">
          <cell r="E1234" t="str">
            <v>Palmeira</v>
          </cell>
        </row>
        <row r="1235">
          <cell r="E1235" t="str">
            <v>Palmital</v>
          </cell>
        </row>
        <row r="1236">
          <cell r="E1236" t="str">
            <v>Palotina</v>
          </cell>
        </row>
        <row r="1237">
          <cell r="E1237" t="str">
            <v>Paraíso do Norte</v>
          </cell>
        </row>
        <row r="1238">
          <cell r="E1238" t="str">
            <v>Paranacity</v>
          </cell>
        </row>
        <row r="1239">
          <cell r="E1239" t="str">
            <v>Paranaguá</v>
          </cell>
        </row>
        <row r="1240">
          <cell r="E1240" t="str">
            <v>Paranapoema</v>
          </cell>
        </row>
        <row r="1241">
          <cell r="E1241" t="str">
            <v>Paranavaí</v>
          </cell>
        </row>
        <row r="1242">
          <cell r="E1242" t="str">
            <v>Pato Bragado</v>
          </cell>
        </row>
        <row r="1243">
          <cell r="E1243" t="str">
            <v>Pato Branco</v>
          </cell>
        </row>
        <row r="1244">
          <cell r="E1244" t="str">
            <v>Paula Freitas</v>
          </cell>
        </row>
        <row r="1245">
          <cell r="E1245" t="str">
            <v>Paulo Frontin</v>
          </cell>
        </row>
        <row r="1246">
          <cell r="E1246" t="str">
            <v>Peabiru</v>
          </cell>
        </row>
        <row r="1247">
          <cell r="E1247" t="str">
            <v>Perobal</v>
          </cell>
        </row>
        <row r="1248">
          <cell r="E1248" t="str">
            <v>Pérola</v>
          </cell>
        </row>
        <row r="1249">
          <cell r="E1249" t="str">
            <v>Pérola d'Oeste</v>
          </cell>
        </row>
        <row r="1250">
          <cell r="E1250" t="str">
            <v>Piên</v>
          </cell>
        </row>
        <row r="1251">
          <cell r="E1251" t="str">
            <v>Pinhais</v>
          </cell>
        </row>
        <row r="1252">
          <cell r="E1252" t="str">
            <v>Pinhal de São Bento</v>
          </cell>
        </row>
        <row r="1253">
          <cell r="E1253" t="str">
            <v>Pinhalão</v>
          </cell>
        </row>
        <row r="1254">
          <cell r="E1254" t="str">
            <v>Pinhão</v>
          </cell>
        </row>
        <row r="1255">
          <cell r="E1255" t="str">
            <v>Piraí do Sul</v>
          </cell>
        </row>
        <row r="1256">
          <cell r="E1256" t="str">
            <v>Piraquara</v>
          </cell>
        </row>
        <row r="1257">
          <cell r="E1257" t="str">
            <v>Pitanga</v>
          </cell>
        </row>
        <row r="1258">
          <cell r="E1258" t="str">
            <v>Pitangueiras</v>
          </cell>
        </row>
        <row r="1259">
          <cell r="E1259" t="str">
            <v>Planaltina do Paraná</v>
          </cell>
        </row>
        <row r="1260">
          <cell r="E1260" t="str">
            <v>Planalto</v>
          </cell>
        </row>
        <row r="1261">
          <cell r="E1261" t="str">
            <v>Ponta Grossa</v>
          </cell>
        </row>
        <row r="1262">
          <cell r="E1262" t="str">
            <v>Pontal do Paraná</v>
          </cell>
        </row>
        <row r="1263">
          <cell r="E1263" t="str">
            <v>Porecatu</v>
          </cell>
        </row>
        <row r="1264">
          <cell r="E1264" t="str">
            <v>Porto Amazonas</v>
          </cell>
        </row>
        <row r="1265">
          <cell r="E1265" t="str">
            <v>Porto Barreiro</v>
          </cell>
        </row>
        <row r="1266">
          <cell r="E1266" t="str">
            <v>Porto Rico</v>
          </cell>
        </row>
        <row r="1267">
          <cell r="E1267" t="str">
            <v>Porto Vitória</v>
          </cell>
        </row>
        <row r="1268">
          <cell r="E1268" t="str">
            <v>Prado Ferreira</v>
          </cell>
        </row>
        <row r="1269">
          <cell r="E1269" t="str">
            <v>Pranchita</v>
          </cell>
        </row>
        <row r="1270">
          <cell r="E1270" t="str">
            <v>Presidente Castelo Branco</v>
          </cell>
        </row>
        <row r="1271">
          <cell r="E1271" t="str">
            <v>Primeiro de Maio</v>
          </cell>
        </row>
        <row r="1272">
          <cell r="E1272" t="str">
            <v>Prudentópolis</v>
          </cell>
        </row>
        <row r="1273">
          <cell r="E1273" t="str">
            <v>Quarto Centenário</v>
          </cell>
        </row>
        <row r="1274">
          <cell r="E1274" t="str">
            <v>Quatiguá</v>
          </cell>
        </row>
        <row r="1275">
          <cell r="E1275" t="str">
            <v>Quatro Barras</v>
          </cell>
        </row>
        <row r="1276">
          <cell r="E1276" t="str">
            <v>Quatro Pontes</v>
          </cell>
        </row>
        <row r="1277">
          <cell r="E1277" t="str">
            <v>Quedas do Iguaçu</v>
          </cell>
        </row>
        <row r="1278">
          <cell r="E1278" t="str">
            <v>Querência do Norte</v>
          </cell>
        </row>
        <row r="1279">
          <cell r="E1279" t="str">
            <v>Quinta do Sol</v>
          </cell>
        </row>
        <row r="1280">
          <cell r="E1280" t="str">
            <v>Quitandinha</v>
          </cell>
        </row>
        <row r="1281">
          <cell r="E1281" t="str">
            <v>Ramilândia</v>
          </cell>
        </row>
        <row r="1282">
          <cell r="E1282" t="str">
            <v>Rancho Alegre</v>
          </cell>
        </row>
        <row r="1283">
          <cell r="E1283" t="str">
            <v>Rancho Alegre D'Oeste</v>
          </cell>
        </row>
        <row r="1284">
          <cell r="E1284" t="str">
            <v>Realeza</v>
          </cell>
        </row>
        <row r="1285">
          <cell r="E1285" t="str">
            <v>Rebouças</v>
          </cell>
        </row>
        <row r="1286">
          <cell r="E1286" t="str">
            <v>Renascença</v>
          </cell>
        </row>
        <row r="1287">
          <cell r="E1287" t="str">
            <v>Reserva</v>
          </cell>
        </row>
        <row r="1288">
          <cell r="E1288" t="str">
            <v>Reserva do Iguaçu</v>
          </cell>
        </row>
        <row r="1289">
          <cell r="E1289" t="str">
            <v>Ribeirão Claro</v>
          </cell>
        </row>
        <row r="1290">
          <cell r="E1290" t="str">
            <v>Ribeirão do Pinhal</v>
          </cell>
        </row>
        <row r="1291">
          <cell r="E1291" t="str">
            <v>Rio Azul</v>
          </cell>
        </row>
        <row r="1292">
          <cell r="E1292" t="str">
            <v>Rio Bom</v>
          </cell>
        </row>
        <row r="1293">
          <cell r="E1293" t="str">
            <v>Rio Bonito do Iguaçu</v>
          </cell>
        </row>
        <row r="1294">
          <cell r="E1294" t="str">
            <v>Rio Branco do Ivaí</v>
          </cell>
        </row>
        <row r="1295">
          <cell r="E1295" t="str">
            <v>Rio Branco do Sul</v>
          </cell>
        </row>
        <row r="1296">
          <cell r="E1296" t="str">
            <v>Rio Negro</v>
          </cell>
        </row>
        <row r="1297">
          <cell r="E1297" t="str">
            <v>Rolândia</v>
          </cell>
        </row>
        <row r="1298">
          <cell r="E1298" t="str">
            <v>Roncador</v>
          </cell>
        </row>
        <row r="1299">
          <cell r="E1299" t="str">
            <v>Rondon</v>
          </cell>
        </row>
        <row r="1300">
          <cell r="E1300" t="str">
            <v>Rosário do Ivaí</v>
          </cell>
        </row>
        <row r="1301">
          <cell r="E1301" t="str">
            <v>Sabáudia</v>
          </cell>
        </row>
        <row r="1302">
          <cell r="E1302" t="str">
            <v>Salgado Filho</v>
          </cell>
        </row>
        <row r="1303">
          <cell r="E1303" t="str">
            <v>Salto do Itararé</v>
          </cell>
        </row>
        <row r="1304">
          <cell r="E1304" t="str">
            <v>Salto do Lontra</v>
          </cell>
        </row>
        <row r="1305">
          <cell r="E1305" t="str">
            <v>Santa Amélia</v>
          </cell>
        </row>
        <row r="1306">
          <cell r="E1306" t="str">
            <v>Santa Cecília do Pavão</v>
          </cell>
        </row>
        <row r="1307">
          <cell r="E1307" t="str">
            <v>Santa Cruz de Monte Castelo</v>
          </cell>
        </row>
        <row r="1308">
          <cell r="E1308" t="str">
            <v>Santa Fé</v>
          </cell>
        </row>
        <row r="1309">
          <cell r="E1309" t="str">
            <v>Santa Helena</v>
          </cell>
        </row>
        <row r="1310">
          <cell r="E1310" t="str">
            <v>Santa Inês</v>
          </cell>
        </row>
        <row r="1311">
          <cell r="E1311" t="str">
            <v>Santa Isabel do Ivaí</v>
          </cell>
        </row>
        <row r="1312">
          <cell r="E1312" t="str">
            <v>Santa Izabel do Oeste</v>
          </cell>
        </row>
        <row r="1313">
          <cell r="E1313" t="str">
            <v>Santa Lúcia</v>
          </cell>
        </row>
        <row r="1314">
          <cell r="E1314" t="str">
            <v>Santa Maria do Oeste</v>
          </cell>
        </row>
        <row r="1315">
          <cell r="E1315" t="str">
            <v>Santa Mariana</v>
          </cell>
        </row>
        <row r="1316">
          <cell r="E1316" t="str">
            <v>Santa Mônica</v>
          </cell>
        </row>
        <row r="1317">
          <cell r="E1317" t="str">
            <v>Santa Tereza do Oeste</v>
          </cell>
        </row>
        <row r="1318">
          <cell r="E1318" t="str">
            <v>Santa Terezinha de Itaipu</v>
          </cell>
        </row>
        <row r="1319">
          <cell r="E1319" t="str">
            <v>Santana do Itararé</v>
          </cell>
        </row>
        <row r="1320">
          <cell r="E1320" t="str">
            <v>Santo Antônio da Platina</v>
          </cell>
        </row>
        <row r="1321">
          <cell r="E1321" t="str">
            <v>Santo Antônio do Caiuá</v>
          </cell>
        </row>
        <row r="1322">
          <cell r="E1322" t="str">
            <v>Santo Antônio do Paraíso</v>
          </cell>
        </row>
        <row r="1323">
          <cell r="E1323" t="str">
            <v>Santo Antônio do Sudoeste</v>
          </cell>
        </row>
        <row r="1324">
          <cell r="E1324" t="str">
            <v>Santo Inácio</v>
          </cell>
        </row>
        <row r="1325">
          <cell r="E1325" t="str">
            <v>São Carlos do Ivaí</v>
          </cell>
        </row>
        <row r="1326">
          <cell r="E1326" t="str">
            <v>São Jerônimo da Serra</v>
          </cell>
        </row>
        <row r="1327">
          <cell r="E1327" t="str">
            <v>São João</v>
          </cell>
        </row>
        <row r="1328">
          <cell r="E1328" t="str">
            <v>São João do Caiuá</v>
          </cell>
        </row>
        <row r="1329">
          <cell r="E1329" t="str">
            <v>São João do Ivaí</v>
          </cell>
        </row>
        <row r="1330">
          <cell r="E1330" t="str">
            <v>São João do Triunfo</v>
          </cell>
        </row>
        <row r="1331">
          <cell r="E1331" t="str">
            <v>São Jorge do Ivaí</v>
          </cell>
        </row>
        <row r="1332">
          <cell r="E1332" t="str">
            <v>São Jorge do Patrocínio</v>
          </cell>
        </row>
        <row r="1333">
          <cell r="E1333" t="str">
            <v>São Jorge d'Oeste</v>
          </cell>
        </row>
        <row r="1334">
          <cell r="E1334" t="str">
            <v>São José da Boa Vista</v>
          </cell>
        </row>
        <row r="1335">
          <cell r="E1335" t="str">
            <v>São José das Palmeiras</v>
          </cell>
        </row>
        <row r="1336">
          <cell r="E1336" t="str">
            <v>São José dos Pinhais</v>
          </cell>
        </row>
        <row r="1337">
          <cell r="E1337" t="str">
            <v>São Manoel do Paraná</v>
          </cell>
        </row>
        <row r="1338">
          <cell r="E1338" t="str">
            <v>São Mateus do Sul</v>
          </cell>
        </row>
        <row r="1339">
          <cell r="E1339" t="str">
            <v>São Miguel do Iguaçu</v>
          </cell>
        </row>
        <row r="1340">
          <cell r="E1340" t="str">
            <v>São Pedro do Iguaçu</v>
          </cell>
        </row>
        <row r="1341">
          <cell r="E1341" t="str">
            <v>São Pedro do Ivaí</v>
          </cell>
        </row>
        <row r="1342">
          <cell r="E1342" t="str">
            <v>São Pedro do Paraná</v>
          </cell>
        </row>
        <row r="1343">
          <cell r="E1343" t="str">
            <v>São Sebastião da Amoreira</v>
          </cell>
        </row>
        <row r="1344">
          <cell r="E1344" t="str">
            <v>São Tomé</v>
          </cell>
        </row>
        <row r="1345">
          <cell r="E1345" t="str">
            <v>Sapopema</v>
          </cell>
        </row>
        <row r="1346">
          <cell r="E1346" t="str">
            <v>Sarandi</v>
          </cell>
        </row>
        <row r="1347">
          <cell r="E1347" t="str">
            <v>Saudade do Iguaçu</v>
          </cell>
        </row>
        <row r="1348">
          <cell r="E1348" t="str">
            <v>Sengés</v>
          </cell>
        </row>
        <row r="1349">
          <cell r="E1349" t="str">
            <v>Serranópolis do Iguaçu</v>
          </cell>
        </row>
        <row r="1350">
          <cell r="E1350" t="str">
            <v>Sertaneja</v>
          </cell>
        </row>
        <row r="1351">
          <cell r="E1351" t="str">
            <v>Sertanópolis</v>
          </cell>
        </row>
        <row r="1352">
          <cell r="E1352" t="str">
            <v>Siqueira Campos</v>
          </cell>
        </row>
        <row r="1353">
          <cell r="E1353" t="str">
            <v>Sulina</v>
          </cell>
        </row>
        <row r="1354">
          <cell r="E1354" t="str">
            <v>Tamarana</v>
          </cell>
        </row>
        <row r="1355">
          <cell r="E1355" t="str">
            <v>Tamboara</v>
          </cell>
        </row>
        <row r="1356">
          <cell r="E1356" t="str">
            <v>Tapejara</v>
          </cell>
        </row>
        <row r="1357">
          <cell r="E1357" t="str">
            <v>Tapira</v>
          </cell>
        </row>
        <row r="1358">
          <cell r="E1358" t="str">
            <v>Teixeira Soares</v>
          </cell>
        </row>
        <row r="1359">
          <cell r="E1359" t="str">
            <v>Telêmaco Borba</v>
          </cell>
        </row>
        <row r="1360">
          <cell r="E1360" t="str">
            <v>Terra Boa</v>
          </cell>
        </row>
        <row r="1361">
          <cell r="E1361" t="str">
            <v>Terra Rica</v>
          </cell>
        </row>
        <row r="1362">
          <cell r="E1362" t="str">
            <v>Terra Roxa</v>
          </cell>
        </row>
        <row r="1363">
          <cell r="E1363" t="str">
            <v>Tibagi</v>
          </cell>
        </row>
        <row r="1364">
          <cell r="E1364" t="str">
            <v>Tijucas do Sul</v>
          </cell>
        </row>
        <row r="1365">
          <cell r="E1365" t="str">
            <v>Toledo</v>
          </cell>
        </row>
        <row r="1366">
          <cell r="E1366" t="str">
            <v>Tomazina</v>
          </cell>
        </row>
        <row r="1367">
          <cell r="E1367" t="str">
            <v>Três Barras do Paraná</v>
          </cell>
        </row>
        <row r="1368">
          <cell r="E1368" t="str">
            <v>Tunas do Paraná</v>
          </cell>
        </row>
        <row r="1369">
          <cell r="E1369" t="str">
            <v>Tuneiras do Oeste</v>
          </cell>
        </row>
        <row r="1370">
          <cell r="E1370" t="str">
            <v>Tupãssi</v>
          </cell>
        </row>
        <row r="1371">
          <cell r="E1371" t="str">
            <v>Turvo</v>
          </cell>
        </row>
        <row r="1372">
          <cell r="E1372" t="str">
            <v>Ubiratã</v>
          </cell>
        </row>
        <row r="1373">
          <cell r="E1373" t="str">
            <v>Umuarama</v>
          </cell>
        </row>
        <row r="1374">
          <cell r="E1374" t="str">
            <v>União da Vitória</v>
          </cell>
        </row>
        <row r="1375">
          <cell r="E1375" t="str">
            <v>Uniflor</v>
          </cell>
        </row>
        <row r="1376">
          <cell r="E1376" t="str">
            <v>Uraí</v>
          </cell>
        </row>
        <row r="1377">
          <cell r="E1377" t="str">
            <v>Ventania</v>
          </cell>
        </row>
        <row r="1378">
          <cell r="E1378" t="str">
            <v>Vera Cruz do Oeste</v>
          </cell>
        </row>
        <row r="1379">
          <cell r="E1379" t="str">
            <v>Verê</v>
          </cell>
        </row>
        <row r="1380">
          <cell r="E1380" t="str">
            <v>Vila Alta</v>
          </cell>
        </row>
        <row r="1381">
          <cell r="E1381" t="str">
            <v>Virmond</v>
          </cell>
        </row>
        <row r="1382">
          <cell r="E1382" t="str">
            <v>Vitorino</v>
          </cell>
        </row>
        <row r="1383">
          <cell r="E1383" t="str">
            <v>Wenceslau Braz</v>
          </cell>
        </row>
        <row r="1384">
          <cell r="E1384" t="str">
            <v>Xambrê</v>
          </cell>
        </row>
        <row r="1389">
          <cell r="E1389" t="str">
            <v>Angra dos Reis</v>
          </cell>
        </row>
        <row r="1390">
          <cell r="E1390" t="str">
            <v>Aperibé</v>
          </cell>
        </row>
        <row r="1391">
          <cell r="E1391" t="str">
            <v>Araruama</v>
          </cell>
        </row>
        <row r="1392">
          <cell r="E1392" t="str">
            <v>Areal</v>
          </cell>
        </row>
        <row r="1393">
          <cell r="E1393" t="str">
            <v>Armação dos Búzios</v>
          </cell>
        </row>
        <row r="1394">
          <cell r="E1394" t="str">
            <v>Arraial do Cabo</v>
          </cell>
        </row>
        <row r="1395">
          <cell r="E1395" t="str">
            <v>Barra do Piraí</v>
          </cell>
        </row>
        <row r="1396">
          <cell r="E1396" t="str">
            <v>Barra Mansa</v>
          </cell>
        </row>
        <row r="1397">
          <cell r="E1397" t="str">
            <v>Belford Roxo</v>
          </cell>
        </row>
        <row r="1398">
          <cell r="E1398" t="str">
            <v>Bom Jardim</v>
          </cell>
        </row>
        <row r="1399">
          <cell r="E1399" t="str">
            <v>Bom Jesus do Itabapoana</v>
          </cell>
        </row>
        <row r="1400">
          <cell r="E1400" t="str">
            <v>Cabo Frio</v>
          </cell>
        </row>
        <row r="1401">
          <cell r="E1401" t="str">
            <v>Cachoeiras de Macacu</v>
          </cell>
        </row>
        <row r="1402">
          <cell r="E1402" t="str">
            <v>Cambuci</v>
          </cell>
        </row>
        <row r="1403">
          <cell r="E1403" t="str">
            <v>Campos dos Goytacazes</v>
          </cell>
        </row>
        <row r="1404">
          <cell r="E1404" t="str">
            <v>Cantagalo</v>
          </cell>
        </row>
        <row r="1405">
          <cell r="E1405" t="str">
            <v>Carapebus</v>
          </cell>
        </row>
        <row r="1406">
          <cell r="E1406" t="str">
            <v>Cardoso Moreira</v>
          </cell>
        </row>
        <row r="1407">
          <cell r="E1407" t="str">
            <v>Carmo</v>
          </cell>
        </row>
        <row r="1408">
          <cell r="E1408" t="str">
            <v>Casimiro de Abreu</v>
          </cell>
        </row>
        <row r="1409">
          <cell r="E1409" t="str">
            <v>Comendador Levy Gasparian</v>
          </cell>
        </row>
        <row r="1410">
          <cell r="E1410" t="str">
            <v>Conceição de Macabu</v>
          </cell>
        </row>
        <row r="1411">
          <cell r="E1411" t="str">
            <v>Cordeiro</v>
          </cell>
        </row>
        <row r="1412">
          <cell r="E1412" t="str">
            <v>Duas Barras</v>
          </cell>
        </row>
        <row r="1413">
          <cell r="E1413" t="str">
            <v>Duque de Caxias</v>
          </cell>
        </row>
        <row r="1414">
          <cell r="E1414" t="str">
            <v>Engenheiro Paulo de Frontin</v>
          </cell>
        </row>
        <row r="1415">
          <cell r="E1415" t="str">
            <v>Guapimirim</v>
          </cell>
        </row>
        <row r="1416">
          <cell r="E1416" t="str">
            <v>Iguaba Grande</v>
          </cell>
        </row>
        <row r="1417">
          <cell r="E1417" t="str">
            <v>Itaboraí</v>
          </cell>
        </row>
        <row r="1418">
          <cell r="E1418" t="str">
            <v>Itaguaí</v>
          </cell>
        </row>
        <row r="1419">
          <cell r="E1419" t="str">
            <v>Italva</v>
          </cell>
        </row>
        <row r="1420">
          <cell r="E1420" t="str">
            <v>Itaocara</v>
          </cell>
        </row>
        <row r="1421">
          <cell r="E1421" t="str">
            <v>Itaperuna</v>
          </cell>
        </row>
        <row r="1422">
          <cell r="E1422" t="str">
            <v>Itatiaia</v>
          </cell>
        </row>
        <row r="1423">
          <cell r="E1423" t="str">
            <v>Japeri</v>
          </cell>
        </row>
        <row r="1424">
          <cell r="E1424" t="str">
            <v>Laje do Muriaé</v>
          </cell>
        </row>
        <row r="1425">
          <cell r="E1425" t="str">
            <v>Macaé</v>
          </cell>
        </row>
        <row r="1426">
          <cell r="E1426" t="str">
            <v>Macuco</v>
          </cell>
        </row>
        <row r="1427">
          <cell r="E1427" t="str">
            <v>Magé</v>
          </cell>
        </row>
        <row r="1428">
          <cell r="E1428" t="str">
            <v>Mangaratiba</v>
          </cell>
        </row>
        <row r="1429">
          <cell r="E1429" t="str">
            <v>Maricá</v>
          </cell>
        </row>
        <row r="1430">
          <cell r="E1430" t="str">
            <v>Mendes</v>
          </cell>
        </row>
        <row r="1431">
          <cell r="E1431" t="str">
            <v>Miguel Pereira</v>
          </cell>
        </row>
        <row r="1432">
          <cell r="E1432" t="str">
            <v>Miracema</v>
          </cell>
        </row>
        <row r="1433">
          <cell r="E1433" t="str">
            <v>Natividade</v>
          </cell>
        </row>
        <row r="1434">
          <cell r="E1434" t="str">
            <v>Nilópolis</v>
          </cell>
        </row>
        <row r="1435">
          <cell r="E1435" t="str">
            <v>Niterói</v>
          </cell>
        </row>
        <row r="1436">
          <cell r="E1436" t="str">
            <v>Nova Friburgo</v>
          </cell>
        </row>
        <row r="1437">
          <cell r="E1437" t="str">
            <v>Nova Iguaçu</v>
          </cell>
        </row>
        <row r="1438">
          <cell r="E1438" t="str">
            <v>Paracambi</v>
          </cell>
        </row>
        <row r="1439">
          <cell r="E1439" t="str">
            <v>Paraíba do Sul</v>
          </cell>
        </row>
        <row r="1440">
          <cell r="E1440" t="str">
            <v>Parati</v>
          </cell>
        </row>
        <row r="1441">
          <cell r="E1441" t="str">
            <v>Paty do Alferes</v>
          </cell>
        </row>
        <row r="1442">
          <cell r="E1442" t="str">
            <v>Petrópolis</v>
          </cell>
        </row>
        <row r="1443">
          <cell r="E1443" t="str">
            <v>Pinheiral</v>
          </cell>
        </row>
        <row r="1444">
          <cell r="E1444" t="str">
            <v>Piraí</v>
          </cell>
        </row>
        <row r="1445">
          <cell r="E1445" t="str">
            <v>Porciúncula</v>
          </cell>
        </row>
        <row r="1446">
          <cell r="E1446" t="str">
            <v>Porto Real</v>
          </cell>
        </row>
        <row r="1447">
          <cell r="E1447" t="str">
            <v>Quatis</v>
          </cell>
        </row>
        <row r="1448">
          <cell r="E1448" t="str">
            <v>Queimados</v>
          </cell>
        </row>
        <row r="1449">
          <cell r="E1449" t="str">
            <v>Quissamã</v>
          </cell>
        </row>
        <row r="1450">
          <cell r="E1450" t="str">
            <v>Resende</v>
          </cell>
        </row>
        <row r="1451">
          <cell r="E1451" t="str">
            <v>Rio Bonito</v>
          </cell>
        </row>
        <row r="1452">
          <cell r="E1452" t="str">
            <v>Rio Claro</v>
          </cell>
        </row>
        <row r="1453">
          <cell r="E1453" t="str">
            <v>Rio das Flores</v>
          </cell>
        </row>
        <row r="1454">
          <cell r="E1454" t="str">
            <v>Rio das Ostras</v>
          </cell>
        </row>
        <row r="1455">
          <cell r="E1455" t="str">
            <v>Rio de Janeiro</v>
          </cell>
        </row>
        <row r="1456">
          <cell r="E1456" t="str">
            <v>Santa Maria Madalena</v>
          </cell>
        </row>
        <row r="1457">
          <cell r="E1457" t="str">
            <v>Santo Antônio de Pádua</v>
          </cell>
        </row>
        <row r="1458">
          <cell r="E1458" t="str">
            <v>São Fidélis</v>
          </cell>
        </row>
        <row r="1459">
          <cell r="E1459" t="str">
            <v>São Francisco de Itabapoana</v>
          </cell>
        </row>
        <row r="1460">
          <cell r="E1460" t="str">
            <v>São Gonçalo</v>
          </cell>
        </row>
        <row r="1461">
          <cell r="E1461" t="str">
            <v>São João da Barra</v>
          </cell>
        </row>
        <row r="1462">
          <cell r="E1462" t="str">
            <v>São João de Meriti</v>
          </cell>
        </row>
        <row r="1463">
          <cell r="E1463" t="str">
            <v>São José de Ubá</v>
          </cell>
        </row>
        <row r="1464">
          <cell r="E1464" t="str">
            <v>São José do Vale do Rio Preto</v>
          </cell>
        </row>
        <row r="1465">
          <cell r="E1465" t="str">
            <v>São Pedro da Aldeia</v>
          </cell>
        </row>
        <row r="1466">
          <cell r="E1466" t="str">
            <v>São Sebastião do Alto</v>
          </cell>
        </row>
        <row r="1467">
          <cell r="E1467" t="str">
            <v>Sapucaia</v>
          </cell>
        </row>
        <row r="1468">
          <cell r="E1468" t="str">
            <v>Saquarema</v>
          </cell>
        </row>
        <row r="1469">
          <cell r="E1469" t="str">
            <v>Seropédica</v>
          </cell>
        </row>
        <row r="1470">
          <cell r="E1470" t="str">
            <v>Silva Jardim</v>
          </cell>
        </row>
        <row r="1471">
          <cell r="E1471" t="str">
            <v>Sumidouro</v>
          </cell>
        </row>
        <row r="1472">
          <cell r="E1472" t="str">
            <v>Tanguá</v>
          </cell>
        </row>
        <row r="1473">
          <cell r="E1473" t="str">
            <v>Teresópolis</v>
          </cell>
        </row>
        <row r="1474">
          <cell r="E1474" t="str">
            <v>Trajano de Morais</v>
          </cell>
        </row>
        <row r="1475">
          <cell r="E1475" t="str">
            <v>Três Rios</v>
          </cell>
        </row>
        <row r="1476">
          <cell r="E1476" t="str">
            <v>Valença</v>
          </cell>
        </row>
        <row r="1477">
          <cell r="E1477" t="str">
            <v>Varre-Sai</v>
          </cell>
        </row>
        <row r="1478">
          <cell r="E1478" t="str">
            <v>Vassouras</v>
          </cell>
        </row>
        <row r="1479">
          <cell r="E1479" t="str">
            <v>Volta Redonda</v>
          </cell>
        </row>
        <row r="1484">
          <cell r="E1484" t="str">
            <v>Alta Floresta D'Oeste</v>
          </cell>
        </row>
        <row r="1485">
          <cell r="E1485" t="str">
            <v>Alto Alegre dos Parecis</v>
          </cell>
        </row>
        <row r="1486">
          <cell r="E1486" t="str">
            <v>Alto Paraíso</v>
          </cell>
        </row>
        <row r="1487">
          <cell r="E1487" t="str">
            <v>Alvorada D'Oeste</v>
          </cell>
        </row>
        <row r="1488">
          <cell r="E1488" t="str">
            <v>Ariquemes</v>
          </cell>
        </row>
        <row r="1489">
          <cell r="E1489" t="str">
            <v>Buritis</v>
          </cell>
        </row>
        <row r="1490">
          <cell r="E1490" t="str">
            <v>Cabixi</v>
          </cell>
        </row>
        <row r="1491">
          <cell r="E1491" t="str">
            <v>Cacaulândia</v>
          </cell>
        </row>
        <row r="1492">
          <cell r="E1492" t="str">
            <v>Cacoal</v>
          </cell>
        </row>
        <row r="1493">
          <cell r="E1493" t="str">
            <v>Campo Novo de Rondônia</v>
          </cell>
        </row>
        <row r="1494">
          <cell r="E1494" t="str">
            <v>Candeias do Jamari</v>
          </cell>
        </row>
        <row r="1495">
          <cell r="E1495" t="str">
            <v>Castanheiras</v>
          </cell>
        </row>
        <row r="1496">
          <cell r="E1496" t="str">
            <v>Cerejeiras</v>
          </cell>
        </row>
        <row r="1497">
          <cell r="E1497" t="str">
            <v>Chupinguaia</v>
          </cell>
        </row>
        <row r="1498">
          <cell r="E1498" t="str">
            <v>Colorado do Oeste</v>
          </cell>
        </row>
        <row r="1499">
          <cell r="E1499" t="str">
            <v>Corumbiara</v>
          </cell>
        </row>
        <row r="1500">
          <cell r="E1500" t="str">
            <v>Costa Marques</v>
          </cell>
        </row>
        <row r="1501">
          <cell r="E1501" t="str">
            <v>Cujubim</v>
          </cell>
        </row>
        <row r="1502">
          <cell r="E1502" t="str">
            <v>Espigão D'Oeste</v>
          </cell>
        </row>
        <row r="1503">
          <cell r="E1503" t="str">
            <v>Governador Jorge Teixeira</v>
          </cell>
        </row>
        <row r="1504">
          <cell r="E1504" t="str">
            <v>Guajará-Mirim</v>
          </cell>
        </row>
        <row r="1505">
          <cell r="E1505" t="str">
            <v>Itapuã do Oeste</v>
          </cell>
        </row>
        <row r="1506">
          <cell r="E1506" t="str">
            <v>Jaru</v>
          </cell>
        </row>
        <row r="1507">
          <cell r="E1507" t="str">
            <v>Ji-Paraná</v>
          </cell>
        </row>
        <row r="1508">
          <cell r="E1508" t="str">
            <v>Machadinho D'Oeste</v>
          </cell>
        </row>
        <row r="1509">
          <cell r="E1509" t="str">
            <v>Ministro Andreazza</v>
          </cell>
        </row>
        <row r="1510">
          <cell r="E1510" t="str">
            <v>Mirante da Serra</v>
          </cell>
        </row>
        <row r="1511">
          <cell r="E1511" t="str">
            <v>Monte Negro</v>
          </cell>
        </row>
        <row r="1512">
          <cell r="E1512" t="str">
            <v>Nova Brasilândia D'Oeste</v>
          </cell>
        </row>
        <row r="1513">
          <cell r="E1513" t="str">
            <v>Nova Mamoré</v>
          </cell>
        </row>
        <row r="1514">
          <cell r="E1514" t="str">
            <v>Nova União</v>
          </cell>
        </row>
        <row r="1515">
          <cell r="E1515" t="str">
            <v>Novo Horizonte do Oeste</v>
          </cell>
        </row>
        <row r="1516">
          <cell r="E1516" t="str">
            <v>Ouro Preto do Oeste</v>
          </cell>
        </row>
        <row r="1517">
          <cell r="E1517" t="str">
            <v>Parecis</v>
          </cell>
        </row>
        <row r="1518">
          <cell r="E1518" t="str">
            <v>Pimenta Bueno</v>
          </cell>
        </row>
        <row r="1519">
          <cell r="E1519" t="str">
            <v>Pimenteiras do Oeste</v>
          </cell>
        </row>
        <row r="1520">
          <cell r="E1520" t="str">
            <v>Porto Velho</v>
          </cell>
        </row>
        <row r="1521">
          <cell r="E1521" t="str">
            <v>Presidente Médici</v>
          </cell>
        </row>
        <row r="1522">
          <cell r="E1522" t="str">
            <v>Primavera de Rondônia</v>
          </cell>
        </row>
        <row r="1523">
          <cell r="E1523" t="str">
            <v>Rio Crespo</v>
          </cell>
        </row>
        <row r="1524">
          <cell r="E1524" t="str">
            <v>Rolim de Moura</v>
          </cell>
        </row>
        <row r="1525">
          <cell r="E1525" t="str">
            <v>Santa Luzia D'Oeste</v>
          </cell>
        </row>
        <row r="1526">
          <cell r="E1526" t="str">
            <v>São Felipe D'Oeste</v>
          </cell>
        </row>
        <row r="1527">
          <cell r="E1527" t="str">
            <v>São Francisco do Guaporé</v>
          </cell>
        </row>
        <row r="1528">
          <cell r="E1528" t="str">
            <v>São Miguel do Guaporé</v>
          </cell>
        </row>
        <row r="1529">
          <cell r="E1529" t="str">
            <v>Seringueiras</v>
          </cell>
        </row>
        <row r="1530">
          <cell r="E1530" t="str">
            <v>Teixeirópolis</v>
          </cell>
        </row>
        <row r="1531">
          <cell r="E1531" t="str">
            <v>Theobroma</v>
          </cell>
        </row>
        <row r="1532">
          <cell r="E1532" t="str">
            <v>Urupá</v>
          </cell>
        </row>
        <row r="1533">
          <cell r="E1533" t="str">
            <v>Vale do Anari</v>
          </cell>
        </row>
        <row r="1534">
          <cell r="E1534" t="str">
            <v>Vale do Paraíso</v>
          </cell>
        </row>
        <row r="1535">
          <cell r="E1535" t="str">
            <v>Vilhena</v>
          </cell>
        </row>
        <row r="1540">
          <cell r="E1540" t="str">
            <v>Água Santa</v>
          </cell>
        </row>
        <row r="1541">
          <cell r="E1541" t="str">
            <v>Agudo</v>
          </cell>
        </row>
        <row r="1542">
          <cell r="E1542" t="str">
            <v>Ajuricaba</v>
          </cell>
        </row>
        <row r="1543">
          <cell r="E1543" t="str">
            <v>Alecrim</v>
          </cell>
        </row>
        <row r="1544">
          <cell r="E1544" t="str">
            <v>Alegrete</v>
          </cell>
        </row>
        <row r="1545">
          <cell r="E1545" t="str">
            <v>Alegria</v>
          </cell>
        </row>
        <row r="1546">
          <cell r="E1546" t="str">
            <v>Alpestre</v>
          </cell>
        </row>
        <row r="1547">
          <cell r="E1547" t="str">
            <v>Alto Alegre</v>
          </cell>
        </row>
        <row r="1548">
          <cell r="E1548" t="str">
            <v>Alto Feliz</v>
          </cell>
        </row>
        <row r="1549">
          <cell r="E1549" t="str">
            <v>Alvorada</v>
          </cell>
        </row>
        <row r="1550">
          <cell r="E1550" t="str">
            <v>Amaral Ferrador</v>
          </cell>
        </row>
        <row r="1551">
          <cell r="E1551" t="str">
            <v>Ametista do Sul</v>
          </cell>
        </row>
        <row r="1552">
          <cell r="E1552" t="str">
            <v>André da Rocha</v>
          </cell>
        </row>
        <row r="1553">
          <cell r="E1553" t="str">
            <v>Anta Gorda</v>
          </cell>
        </row>
        <row r="1554">
          <cell r="E1554" t="str">
            <v>Antônio Prado</v>
          </cell>
        </row>
        <row r="1555">
          <cell r="E1555" t="str">
            <v>Arambaré</v>
          </cell>
        </row>
        <row r="1556">
          <cell r="E1556" t="str">
            <v>Araricá</v>
          </cell>
        </row>
        <row r="1557">
          <cell r="E1557" t="str">
            <v>Aratiba</v>
          </cell>
        </row>
        <row r="1558">
          <cell r="E1558" t="str">
            <v>Arroio do Meio</v>
          </cell>
        </row>
        <row r="1559">
          <cell r="E1559" t="str">
            <v>Arroio do Sal</v>
          </cell>
        </row>
        <row r="1560">
          <cell r="E1560" t="str">
            <v>Arroio do Tigre</v>
          </cell>
        </row>
        <row r="1561">
          <cell r="E1561" t="str">
            <v>Arroio dos Ratos</v>
          </cell>
        </row>
        <row r="1562">
          <cell r="E1562" t="str">
            <v>Arroio Grande</v>
          </cell>
        </row>
        <row r="1563">
          <cell r="E1563" t="str">
            <v>Arvorezinha</v>
          </cell>
        </row>
        <row r="1564">
          <cell r="E1564" t="str">
            <v>Augusto Pestana</v>
          </cell>
        </row>
        <row r="1565">
          <cell r="E1565" t="str">
            <v>Áurea</v>
          </cell>
        </row>
        <row r="1566">
          <cell r="E1566" t="str">
            <v>Bagé</v>
          </cell>
        </row>
        <row r="1567">
          <cell r="E1567" t="str">
            <v>Balneário Pinhal</v>
          </cell>
        </row>
        <row r="1568">
          <cell r="E1568" t="str">
            <v>Barão</v>
          </cell>
        </row>
        <row r="1569">
          <cell r="E1569" t="str">
            <v>Barão de Cotegipe</v>
          </cell>
        </row>
        <row r="1570">
          <cell r="E1570" t="str">
            <v>Barão do Triunfo</v>
          </cell>
        </row>
        <row r="1571">
          <cell r="E1571" t="str">
            <v>Barra do Guarita</v>
          </cell>
        </row>
        <row r="1572">
          <cell r="E1572" t="str">
            <v>Barra do Quaraí</v>
          </cell>
        </row>
        <row r="1573">
          <cell r="E1573" t="str">
            <v>Barra do Ribeiro</v>
          </cell>
        </row>
        <row r="1574">
          <cell r="E1574" t="str">
            <v>Barra do Rio Azul</v>
          </cell>
        </row>
        <row r="1575">
          <cell r="E1575" t="str">
            <v>Barra Funda</v>
          </cell>
        </row>
        <row r="1576">
          <cell r="E1576" t="str">
            <v>Barracão</v>
          </cell>
        </row>
        <row r="1577">
          <cell r="E1577" t="str">
            <v>Barros Cassal</v>
          </cell>
        </row>
        <row r="1578">
          <cell r="E1578" t="str">
            <v>Benjamin Constant do Sul</v>
          </cell>
        </row>
        <row r="1579">
          <cell r="E1579" t="str">
            <v>Bento Gonçalves</v>
          </cell>
        </row>
        <row r="1580">
          <cell r="E1580" t="str">
            <v>Boa Vista das Missões</v>
          </cell>
        </row>
        <row r="1581">
          <cell r="E1581" t="str">
            <v>Boa Vista do Buricá</v>
          </cell>
        </row>
        <row r="1582">
          <cell r="E1582" t="str">
            <v>Boa Vista do Sul</v>
          </cell>
        </row>
        <row r="1583">
          <cell r="E1583" t="str">
            <v>Bom Jesus</v>
          </cell>
        </row>
        <row r="1584">
          <cell r="E1584" t="str">
            <v>Bom Princípio</v>
          </cell>
        </row>
        <row r="1585">
          <cell r="E1585" t="str">
            <v>Bom Progresso</v>
          </cell>
        </row>
        <row r="1586">
          <cell r="E1586" t="str">
            <v>Bom Retiro do Sul</v>
          </cell>
        </row>
        <row r="1587">
          <cell r="E1587" t="str">
            <v>Boqueirão do Leão</v>
          </cell>
        </row>
        <row r="1588">
          <cell r="E1588" t="str">
            <v>Bossoroca</v>
          </cell>
        </row>
        <row r="1589">
          <cell r="E1589" t="str">
            <v>Braga</v>
          </cell>
        </row>
        <row r="1590">
          <cell r="E1590" t="str">
            <v>Brochier</v>
          </cell>
        </row>
        <row r="1591">
          <cell r="E1591" t="str">
            <v>Butiá</v>
          </cell>
        </row>
        <row r="1592">
          <cell r="E1592" t="str">
            <v>Caçapava do Sul</v>
          </cell>
        </row>
        <row r="1593">
          <cell r="E1593" t="str">
            <v>Cacequi</v>
          </cell>
        </row>
        <row r="1594">
          <cell r="E1594" t="str">
            <v>Cachoeira do Sul</v>
          </cell>
        </row>
        <row r="1595">
          <cell r="E1595" t="str">
            <v>Cachoeirinha</v>
          </cell>
        </row>
        <row r="1596">
          <cell r="E1596" t="str">
            <v>Cacique Doble</v>
          </cell>
        </row>
        <row r="1597">
          <cell r="E1597" t="str">
            <v>Caibaté</v>
          </cell>
        </row>
        <row r="1598">
          <cell r="E1598" t="str">
            <v>Caiçara</v>
          </cell>
        </row>
        <row r="1599">
          <cell r="E1599" t="str">
            <v>Camaquã</v>
          </cell>
        </row>
        <row r="1600">
          <cell r="E1600" t="str">
            <v>Camargo</v>
          </cell>
        </row>
        <row r="1601">
          <cell r="E1601" t="str">
            <v>Cambará do Sul</v>
          </cell>
        </row>
        <row r="1602">
          <cell r="E1602" t="str">
            <v>Campestre da Serra</v>
          </cell>
        </row>
        <row r="1603">
          <cell r="E1603" t="str">
            <v>Campina das Missões</v>
          </cell>
        </row>
        <row r="1604">
          <cell r="E1604" t="str">
            <v>Campinas do Sul</v>
          </cell>
        </row>
        <row r="1605">
          <cell r="E1605" t="str">
            <v>Campo Bom</v>
          </cell>
        </row>
        <row r="1606">
          <cell r="E1606" t="str">
            <v>Campo Novo</v>
          </cell>
        </row>
        <row r="1607">
          <cell r="E1607" t="str">
            <v>Campos Borges</v>
          </cell>
        </row>
        <row r="1608">
          <cell r="E1608" t="str">
            <v>Candelária</v>
          </cell>
        </row>
        <row r="1609">
          <cell r="E1609" t="str">
            <v>Cândido Godói</v>
          </cell>
        </row>
        <row r="1610">
          <cell r="E1610" t="str">
            <v>Candiota</v>
          </cell>
        </row>
        <row r="1611">
          <cell r="E1611" t="str">
            <v>Canela</v>
          </cell>
        </row>
        <row r="1612">
          <cell r="E1612" t="str">
            <v>Canguçu</v>
          </cell>
        </row>
        <row r="1613">
          <cell r="E1613" t="str">
            <v>Canoas</v>
          </cell>
        </row>
        <row r="1614">
          <cell r="E1614" t="str">
            <v>Capão da Canoa</v>
          </cell>
        </row>
        <row r="1615">
          <cell r="E1615" t="str">
            <v>Capão do Leão</v>
          </cell>
        </row>
        <row r="1616">
          <cell r="E1616" t="str">
            <v>Capela de Santana</v>
          </cell>
        </row>
        <row r="1617">
          <cell r="E1617" t="str">
            <v>Capitão</v>
          </cell>
        </row>
        <row r="1618">
          <cell r="E1618" t="str">
            <v>Capivari do Sul</v>
          </cell>
        </row>
        <row r="1619">
          <cell r="E1619" t="str">
            <v>Caraá</v>
          </cell>
        </row>
        <row r="1620">
          <cell r="E1620" t="str">
            <v>Carazinho</v>
          </cell>
        </row>
        <row r="1621">
          <cell r="E1621" t="str">
            <v>Carlos Barbosa</v>
          </cell>
        </row>
        <row r="1622">
          <cell r="E1622" t="str">
            <v>Carlos Gomes</v>
          </cell>
        </row>
        <row r="1623">
          <cell r="E1623" t="str">
            <v>Casca</v>
          </cell>
        </row>
        <row r="1624">
          <cell r="E1624" t="str">
            <v>Caseiros</v>
          </cell>
        </row>
        <row r="1625">
          <cell r="E1625" t="str">
            <v>Catuípe</v>
          </cell>
        </row>
        <row r="1626">
          <cell r="E1626" t="str">
            <v>Caxias do Sul</v>
          </cell>
        </row>
        <row r="1627">
          <cell r="E1627" t="str">
            <v>Centenário</v>
          </cell>
        </row>
        <row r="1628">
          <cell r="E1628" t="str">
            <v>Cerrito</v>
          </cell>
        </row>
        <row r="1629">
          <cell r="E1629" t="str">
            <v>Cerro Branco</v>
          </cell>
        </row>
        <row r="1630">
          <cell r="E1630" t="str">
            <v>Cerro Grande</v>
          </cell>
        </row>
        <row r="1631">
          <cell r="E1631" t="str">
            <v>Cerro Grande do Sul</v>
          </cell>
        </row>
        <row r="1632">
          <cell r="E1632" t="str">
            <v>Cerro Largo</v>
          </cell>
        </row>
        <row r="1633">
          <cell r="E1633" t="str">
            <v>Chapada</v>
          </cell>
        </row>
        <row r="1634">
          <cell r="E1634" t="str">
            <v>Charqueadas</v>
          </cell>
        </row>
        <row r="1635">
          <cell r="E1635" t="str">
            <v>Charrua</v>
          </cell>
        </row>
        <row r="1636">
          <cell r="E1636" t="str">
            <v>Chiapetta</v>
          </cell>
        </row>
        <row r="1637">
          <cell r="E1637" t="str">
            <v>Chuí</v>
          </cell>
        </row>
        <row r="1638">
          <cell r="E1638" t="str">
            <v>Chuvisca</v>
          </cell>
        </row>
        <row r="1639">
          <cell r="E1639" t="str">
            <v>Cidreira</v>
          </cell>
        </row>
        <row r="1640">
          <cell r="E1640" t="str">
            <v>Ciríaco</v>
          </cell>
        </row>
        <row r="1641">
          <cell r="E1641" t="str">
            <v>Colinas</v>
          </cell>
        </row>
        <row r="1642">
          <cell r="E1642" t="str">
            <v>Colorado</v>
          </cell>
        </row>
        <row r="1643">
          <cell r="E1643" t="str">
            <v>Condor</v>
          </cell>
        </row>
        <row r="1644">
          <cell r="E1644" t="str">
            <v>Constantina</v>
          </cell>
        </row>
        <row r="1645">
          <cell r="E1645" t="str">
            <v>Coqueiros do Sul</v>
          </cell>
        </row>
        <row r="1646">
          <cell r="E1646" t="str">
            <v>Coronel Barros</v>
          </cell>
        </row>
        <row r="1647">
          <cell r="E1647" t="str">
            <v>Coronel Bicaco</v>
          </cell>
        </row>
        <row r="1648">
          <cell r="E1648" t="str">
            <v>Cotiporã</v>
          </cell>
        </row>
        <row r="1649">
          <cell r="E1649" t="str">
            <v>Coxilha</v>
          </cell>
        </row>
        <row r="1650">
          <cell r="E1650" t="str">
            <v>Crissiumal</v>
          </cell>
        </row>
        <row r="1651">
          <cell r="E1651" t="str">
            <v>Cristal</v>
          </cell>
        </row>
        <row r="1652">
          <cell r="E1652" t="str">
            <v>Cristal do Sul</v>
          </cell>
        </row>
        <row r="1653">
          <cell r="E1653" t="str">
            <v>Cruz Alta</v>
          </cell>
        </row>
        <row r="1654">
          <cell r="E1654" t="str">
            <v>Cruzeiro do Sul</v>
          </cell>
        </row>
        <row r="1655">
          <cell r="E1655" t="str">
            <v>David Canabarro</v>
          </cell>
        </row>
        <row r="1656">
          <cell r="E1656" t="str">
            <v>Derrubadas</v>
          </cell>
        </row>
        <row r="1657">
          <cell r="E1657" t="str">
            <v>Dezesseis de Novembro</v>
          </cell>
        </row>
        <row r="1658">
          <cell r="E1658" t="str">
            <v>Dilermando de Aguiar</v>
          </cell>
        </row>
        <row r="1659">
          <cell r="E1659" t="str">
            <v>Dois Irmãos</v>
          </cell>
        </row>
        <row r="1660">
          <cell r="E1660" t="str">
            <v>Dois Irmãos das Missões</v>
          </cell>
        </row>
        <row r="1661">
          <cell r="E1661" t="str">
            <v>Dois Lajeados</v>
          </cell>
        </row>
        <row r="1662">
          <cell r="E1662" t="str">
            <v>Dom Feliciano</v>
          </cell>
        </row>
        <row r="1663">
          <cell r="E1663" t="str">
            <v>Dom Pedrito</v>
          </cell>
        </row>
        <row r="1664">
          <cell r="E1664" t="str">
            <v>Dom Pedro de Alcântara</v>
          </cell>
        </row>
        <row r="1665">
          <cell r="E1665" t="str">
            <v>Dona Francisca</v>
          </cell>
        </row>
        <row r="1666">
          <cell r="E1666" t="str">
            <v>Doutor Maurício Cardoso</v>
          </cell>
        </row>
        <row r="1667">
          <cell r="E1667" t="str">
            <v>Doutor Ricardo</v>
          </cell>
        </row>
        <row r="1668">
          <cell r="E1668" t="str">
            <v>Eldorado do Sul</v>
          </cell>
        </row>
        <row r="1669">
          <cell r="E1669" t="str">
            <v>Encantado</v>
          </cell>
        </row>
        <row r="1670">
          <cell r="E1670" t="str">
            <v>Encruzilhada do Sul</v>
          </cell>
        </row>
        <row r="1671">
          <cell r="E1671" t="str">
            <v>Engenho Velho</v>
          </cell>
        </row>
        <row r="1672">
          <cell r="E1672" t="str">
            <v>Entre Rios do Sul</v>
          </cell>
        </row>
        <row r="1673">
          <cell r="E1673" t="str">
            <v>Entre-Ijuís</v>
          </cell>
        </row>
        <row r="1674">
          <cell r="E1674" t="str">
            <v>Erebango</v>
          </cell>
        </row>
        <row r="1675">
          <cell r="E1675" t="str">
            <v>Erechim</v>
          </cell>
        </row>
        <row r="1676">
          <cell r="E1676" t="str">
            <v>Ernestina</v>
          </cell>
        </row>
        <row r="1677">
          <cell r="E1677" t="str">
            <v>Erval Grande</v>
          </cell>
        </row>
        <row r="1678">
          <cell r="E1678" t="str">
            <v>Erval Seco</v>
          </cell>
        </row>
        <row r="1679">
          <cell r="E1679" t="str">
            <v>Esmeralda</v>
          </cell>
        </row>
        <row r="1680">
          <cell r="E1680" t="str">
            <v>Esperança do Sul</v>
          </cell>
        </row>
        <row r="1681">
          <cell r="E1681" t="str">
            <v>Espumoso</v>
          </cell>
        </row>
        <row r="1682">
          <cell r="E1682" t="str">
            <v>Estação</v>
          </cell>
        </row>
        <row r="1683">
          <cell r="E1683" t="str">
            <v>Estância Velha</v>
          </cell>
        </row>
        <row r="1684">
          <cell r="E1684" t="str">
            <v>Esteio</v>
          </cell>
        </row>
        <row r="1685">
          <cell r="E1685" t="str">
            <v>Estrela</v>
          </cell>
        </row>
        <row r="1686">
          <cell r="E1686" t="str">
            <v>Estrela Velha</v>
          </cell>
        </row>
        <row r="1687">
          <cell r="E1687" t="str">
            <v>Eugênio de Castro</v>
          </cell>
        </row>
        <row r="1688">
          <cell r="E1688" t="str">
            <v>Fagundes Varela</v>
          </cell>
        </row>
        <row r="1689">
          <cell r="E1689" t="str">
            <v>Farroupilha</v>
          </cell>
        </row>
        <row r="1690">
          <cell r="E1690" t="str">
            <v>Faxinal do Soturno</v>
          </cell>
        </row>
        <row r="1691">
          <cell r="E1691" t="str">
            <v>Faxinalzinho</v>
          </cell>
        </row>
        <row r="1692">
          <cell r="E1692" t="str">
            <v>Fazenda Vilanova</v>
          </cell>
        </row>
        <row r="1693">
          <cell r="E1693" t="str">
            <v>Feliz</v>
          </cell>
        </row>
        <row r="1694">
          <cell r="E1694" t="str">
            <v>Flores da Cunha</v>
          </cell>
        </row>
        <row r="1695">
          <cell r="E1695" t="str">
            <v>Floriano Peixoto</v>
          </cell>
        </row>
        <row r="1696">
          <cell r="E1696" t="str">
            <v>Fontoura Xavier</v>
          </cell>
        </row>
        <row r="1697">
          <cell r="E1697" t="str">
            <v>Formigueiro</v>
          </cell>
        </row>
        <row r="1698">
          <cell r="E1698" t="str">
            <v>Fortaleza dos Valos</v>
          </cell>
        </row>
        <row r="1699">
          <cell r="E1699" t="str">
            <v>Frederico Westphalen</v>
          </cell>
        </row>
        <row r="1700">
          <cell r="E1700" t="str">
            <v>Garibaldi</v>
          </cell>
        </row>
        <row r="1701">
          <cell r="E1701" t="str">
            <v>Garruchos</v>
          </cell>
        </row>
        <row r="1702">
          <cell r="E1702" t="str">
            <v>Gaurama</v>
          </cell>
        </row>
        <row r="1703">
          <cell r="E1703" t="str">
            <v>General Câmara</v>
          </cell>
        </row>
        <row r="1704">
          <cell r="E1704" t="str">
            <v>Gentil</v>
          </cell>
        </row>
        <row r="1705">
          <cell r="E1705" t="str">
            <v>Getúlio Vargas</v>
          </cell>
        </row>
        <row r="1706">
          <cell r="E1706" t="str">
            <v>Giruá</v>
          </cell>
        </row>
        <row r="1707">
          <cell r="E1707" t="str">
            <v>Glorinha</v>
          </cell>
        </row>
        <row r="1708">
          <cell r="E1708" t="str">
            <v>Gramado</v>
          </cell>
        </row>
        <row r="1709">
          <cell r="E1709" t="str">
            <v>Gramado dos Loureiros</v>
          </cell>
        </row>
        <row r="1710">
          <cell r="E1710" t="str">
            <v>Gramado Xavier</v>
          </cell>
        </row>
        <row r="1711">
          <cell r="E1711" t="str">
            <v>Gravataí</v>
          </cell>
        </row>
        <row r="1712">
          <cell r="E1712" t="str">
            <v>Guabiju</v>
          </cell>
        </row>
        <row r="1713">
          <cell r="E1713" t="str">
            <v>Guaíba</v>
          </cell>
        </row>
        <row r="1714">
          <cell r="E1714" t="str">
            <v>Guaporé</v>
          </cell>
        </row>
        <row r="1715">
          <cell r="E1715" t="str">
            <v>Guarani das Missões</v>
          </cell>
        </row>
        <row r="1716">
          <cell r="E1716" t="str">
            <v>Harmonia</v>
          </cell>
        </row>
        <row r="1717">
          <cell r="E1717" t="str">
            <v>Herval</v>
          </cell>
        </row>
        <row r="1718">
          <cell r="E1718" t="str">
            <v>Herveiras</v>
          </cell>
        </row>
        <row r="1719">
          <cell r="E1719" t="str">
            <v>Horizontina</v>
          </cell>
        </row>
        <row r="1720">
          <cell r="E1720" t="str">
            <v>Hulha Negra</v>
          </cell>
        </row>
        <row r="1721">
          <cell r="E1721" t="str">
            <v>Humaitá</v>
          </cell>
        </row>
        <row r="1722">
          <cell r="E1722" t="str">
            <v>Ibarama</v>
          </cell>
        </row>
        <row r="1723">
          <cell r="E1723" t="str">
            <v>Ibiaçá</v>
          </cell>
        </row>
        <row r="1724">
          <cell r="E1724" t="str">
            <v>Ibiraiaras</v>
          </cell>
        </row>
        <row r="1725">
          <cell r="E1725" t="str">
            <v>Ibirapuitã</v>
          </cell>
        </row>
        <row r="1726">
          <cell r="E1726" t="str">
            <v>Ibirubá</v>
          </cell>
        </row>
        <row r="1727">
          <cell r="E1727" t="str">
            <v>Igrejinha</v>
          </cell>
        </row>
        <row r="1728">
          <cell r="E1728" t="str">
            <v>Ijuí</v>
          </cell>
        </row>
        <row r="1729">
          <cell r="E1729" t="str">
            <v>Ilópolis</v>
          </cell>
        </row>
        <row r="1730">
          <cell r="E1730" t="str">
            <v>Imbé</v>
          </cell>
        </row>
        <row r="1731">
          <cell r="E1731" t="str">
            <v>Imigrante</v>
          </cell>
        </row>
        <row r="1732">
          <cell r="E1732" t="str">
            <v>Independência</v>
          </cell>
        </row>
        <row r="1733">
          <cell r="E1733" t="str">
            <v>Inhacorá</v>
          </cell>
        </row>
        <row r="1734">
          <cell r="E1734" t="str">
            <v>Ipê</v>
          </cell>
        </row>
        <row r="1735">
          <cell r="E1735" t="str">
            <v>Ipiranga do Sul</v>
          </cell>
        </row>
        <row r="1736">
          <cell r="E1736" t="str">
            <v>Iraí</v>
          </cell>
        </row>
        <row r="1737">
          <cell r="E1737" t="str">
            <v>Itaara</v>
          </cell>
        </row>
        <row r="1738">
          <cell r="E1738" t="str">
            <v>Itacurubi</v>
          </cell>
        </row>
        <row r="1739">
          <cell r="E1739" t="str">
            <v>Itapuca</v>
          </cell>
        </row>
        <row r="1740">
          <cell r="E1740" t="str">
            <v>Itaqui</v>
          </cell>
        </row>
        <row r="1741">
          <cell r="E1741" t="str">
            <v>Itatiba do Sul</v>
          </cell>
        </row>
        <row r="1742">
          <cell r="E1742" t="str">
            <v>Ivorá</v>
          </cell>
        </row>
        <row r="1743">
          <cell r="E1743" t="str">
            <v>Ivoti</v>
          </cell>
        </row>
        <row r="1744">
          <cell r="E1744" t="str">
            <v>Jaboticaba</v>
          </cell>
        </row>
        <row r="1745">
          <cell r="E1745" t="str">
            <v>Jacutinga</v>
          </cell>
        </row>
        <row r="1746">
          <cell r="E1746" t="str">
            <v>Jaguarão</v>
          </cell>
        </row>
        <row r="1747">
          <cell r="E1747" t="str">
            <v>Jaguari</v>
          </cell>
        </row>
        <row r="1748">
          <cell r="E1748" t="str">
            <v>Jaquirana</v>
          </cell>
        </row>
        <row r="1749">
          <cell r="E1749" t="str">
            <v>Jari</v>
          </cell>
        </row>
        <row r="1750">
          <cell r="E1750" t="str">
            <v>Jóia</v>
          </cell>
        </row>
        <row r="1751">
          <cell r="E1751" t="str">
            <v>Júlio de Castilhos</v>
          </cell>
        </row>
        <row r="1752">
          <cell r="E1752" t="str">
            <v>Lagoa dos Três Cantos</v>
          </cell>
        </row>
        <row r="1753">
          <cell r="E1753" t="str">
            <v>Lagoa Vermelha</v>
          </cell>
        </row>
        <row r="1754">
          <cell r="E1754" t="str">
            <v>Lagoão</v>
          </cell>
        </row>
        <row r="1755">
          <cell r="E1755" t="str">
            <v>Lajeado</v>
          </cell>
        </row>
        <row r="1756">
          <cell r="E1756" t="str">
            <v>Lajeado do Bugre</v>
          </cell>
        </row>
        <row r="1757">
          <cell r="E1757" t="str">
            <v>Lavras do Sul</v>
          </cell>
        </row>
        <row r="1758">
          <cell r="E1758" t="str">
            <v>Liberato Salzano</v>
          </cell>
        </row>
        <row r="1759">
          <cell r="E1759" t="str">
            <v>Lindolfo Collor</v>
          </cell>
        </row>
        <row r="1760">
          <cell r="E1760" t="str">
            <v>Linha Nova</v>
          </cell>
        </row>
        <row r="1761">
          <cell r="E1761" t="str">
            <v>Maçambara</v>
          </cell>
        </row>
        <row r="1762">
          <cell r="E1762" t="str">
            <v>Machadinho</v>
          </cell>
        </row>
        <row r="1763">
          <cell r="E1763" t="str">
            <v>Mampituba</v>
          </cell>
        </row>
        <row r="1764">
          <cell r="E1764" t="str">
            <v>Manoel Viana</v>
          </cell>
        </row>
        <row r="1765">
          <cell r="E1765" t="str">
            <v>Maquiné</v>
          </cell>
        </row>
        <row r="1766">
          <cell r="E1766" t="str">
            <v>Maratá</v>
          </cell>
        </row>
        <row r="1767">
          <cell r="E1767" t="str">
            <v>Marau</v>
          </cell>
        </row>
        <row r="1768">
          <cell r="E1768" t="str">
            <v>Marcelino Ramos</v>
          </cell>
        </row>
        <row r="1769">
          <cell r="E1769" t="str">
            <v>Mariana Pimentel</v>
          </cell>
        </row>
        <row r="1770">
          <cell r="E1770" t="str">
            <v>Mariano Moro</v>
          </cell>
        </row>
        <row r="1771">
          <cell r="E1771" t="str">
            <v>Marques de Souza</v>
          </cell>
        </row>
        <row r="1772">
          <cell r="E1772" t="str">
            <v>Mata</v>
          </cell>
        </row>
        <row r="1773">
          <cell r="E1773" t="str">
            <v>Mato Castelhano</v>
          </cell>
        </row>
        <row r="1774">
          <cell r="E1774" t="str">
            <v>Mato Leitão</v>
          </cell>
        </row>
        <row r="1775">
          <cell r="E1775" t="str">
            <v>Maximiliano de Almeida</v>
          </cell>
        </row>
        <row r="1776">
          <cell r="E1776" t="str">
            <v>Minas do Leão</v>
          </cell>
        </row>
        <row r="1777">
          <cell r="E1777" t="str">
            <v>Miraguaí</v>
          </cell>
        </row>
        <row r="1778">
          <cell r="E1778" t="str">
            <v>Montauri</v>
          </cell>
        </row>
        <row r="1779">
          <cell r="E1779" t="str">
            <v>Monte Alegre dos Campos</v>
          </cell>
        </row>
        <row r="1780">
          <cell r="E1780" t="str">
            <v>Monte Belo do Sul</v>
          </cell>
        </row>
        <row r="1781">
          <cell r="E1781" t="str">
            <v>Montenegro</v>
          </cell>
        </row>
        <row r="1782">
          <cell r="E1782" t="str">
            <v>Mormaço</v>
          </cell>
        </row>
        <row r="1783">
          <cell r="E1783" t="str">
            <v>Morrinhos do Sul</v>
          </cell>
        </row>
        <row r="1784">
          <cell r="E1784" t="str">
            <v>Morro Redondo</v>
          </cell>
        </row>
        <row r="1785">
          <cell r="E1785" t="str">
            <v>Morro Reuter</v>
          </cell>
        </row>
        <row r="1786">
          <cell r="E1786" t="str">
            <v>Mostardas</v>
          </cell>
        </row>
        <row r="1787">
          <cell r="E1787" t="str">
            <v>Muçum</v>
          </cell>
        </row>
        <row r="1788">
          <cell r="E1788" t="str">
            <v>Muitos Capões</v>
          </cell>
        </row>
        <row r="1789">
          <cell r="E1789" t="str">
            <v>Muliterno</v>
          </cell>
        </row>
        <row r="1790">
          <cell r="E1790" t="str">
            <v>Não-Me-Toque</v>
          </cell>
        </row>
        <row r="1791">
          <cell r="E1791" t="str">
            <v>Nicolau Vergueiro</v>
          </cell>
        </row>
        <row r="1792">
          <cell r="E1792" t="str">
            <v>Nonoai</v>
          </cell>
        </row>
        <row r="1793">
          <cell r="E1793" t="str">
            <v>Nova Alvorada</v>
          </cell>
        </row>
        <row r="1794">
          <cell r="E1794" t="str">
            <v>Nova Araçá</v>
          </cell>
        </row>
        <row r="1795">
          <cell r="E1795" t="str">
            <v>Nova Bassano</v>
          </cell>
        </row>
        <row r="1796">
          <cell r="E1796" t="str">
            <v>Nova Boa Vista</v>
          </cell>
        </row>
        <row r="1797">
          <cell r="E1797" t="str">
            <v>Nova Bréscia</v>
          </cell>
        </row>
        <row r="1798">
          <cell r="E1798" t="str">
            <v>Nova Candelária</v>
          </cell>
        </row>
        <row r="1799">
          <cell r="E1799" t="str">
            <v>Nova Esperança do Sul</v>
          </cell>
        </row>
        <row r="1800">
          <cell r="E1800" t="str">
            <v>Nova Hartz</v>
          </cell>
        </row>
        <row r="1801">
          <cell r="E1801" t="str">
            <v>Nova Pádua</v>
          </cell>
        </row>
        <row r="1802">
          <cell r="E1802" t="str">
            <v>Nova Palma</v>
          </cell>
        </row>
        <row r="1803">
          <cell r="E1803" t="str">
            <v>Nova Petrópolis</v>
          </cell>
        </row>
        <row r="1804">
          <cell r="E1804" t="str">
            <v>Nova Prata</v>
          </cell>
        </row>
        <row r="1805">
          <cell r="E1805" t="str">
            <v>Nova Ramada</v>
          </cell>
        </row>
        <row r="1806">
          <cell r="E1806" t="str">
            <v>Nova Roma do Sul</v>
          </cell>
        </row>
        <row r="1807">
          <cell r="E1807" t="str">
            <v>Nova Santa Rita</v>
          </cell>
        </row>
        <row r="1808">
          <cell r="E1808" t="str">
            <v>Novo Barreiro</v>
          </cell>
        </row>
        <row r="1809">
          <cell r="E1809" t="str">
            <v>Novo Cabrais</v>
          </cell>
        </row>
        <row r="1810">
          <cell r="E1810" t="str">
            <v>Novo Hamburgo</v>
          </cell>
        </row>
        <row r="1811">
          <cell r="E1811" t="str">
            <v>Novo Machado</v>
          </cell>
        </row>
        <row r="1812">
          <cell r="E1812" t="str">
            <v>Novo Tiradentes</v>
          </cell>
        </row>
        <row r="1813">
          <cell r="E1813" t="str">
            <v>Osório</v>
          </cell>
        </row>
        <row r="1814">
          <cell r="E1814" t="str">
            <v>Paim Filho</v>
          </cell>
        </row>
        <row r="1815">
          <cell r="E1815" t="str">
            <v>Palmares do Sul</v>
          </cell>
        </row>
        <row r="1816">
          <cell r="E1816" t="str">
            <v>Palmeira das Missões</v>
          </cell>
        </row>
        <row r="1817">
          <cell r="E1817" t="str">
            <v>Palmitinho</v>
          </cell>
        </row>
        <row r="1818">
          <cell r="E1818" t="str">
            <v>Panambi</v>
          </cell>
        </row>
        <row r="1819">
          <cell r="E1819" t="str">
            <v>Pantano Grande</v>
          </cell>
        </row>
        <row r="1820">
          <cell r="E1820" t="str">
            <v>Paraí</v>
          </cell>
        </row>
        <row r="1821">
          <cell r="E1821" t="str">
            <v>Paraíso do Sul</v>
          </cell>
        </row>
        <row r="1822">
          <cell r="E1822" t="str">
            <v>Pareci Novo</v>
          </cell>
        </row>
        <row r="1823">
          <cell r="E1823" t="str">
            <v>Parobé</v>
          </cell>
        </row>
        <row r="1824">
          <cell r="E1824" t="str">
            <v>Passa Sete</v>
          </cell>
        </row>
        <row r="1825">
          <cell r="E1825" t="str">
            <v>Passo do Sobrado</v>
          </cell>
        </row>
        <row r="1826">
          <cell r="E1826" t="str">
            <v>Passo Fundo</v>
          </cell>
        </row>
        <row r="1827">
          <cell r="E1827" t="str">
            <v>Paverama</v>
          </cell>
        </row>
        <row r="1828">
          <cell r="E1828" t="str">
            <v>Pedro Osório</v>
          </cell>
        </row>
        <row r="1829">
          <cell r="E1829" t="str">
            <v>Pejuçara</v>
          </cell>
        </row>
        <row r="1830">
          <cell r="E1830" t="str">
            <v>Pelotas</v>
          </cell>
        </row>
        <row r="1831">
          <cell r="E1831" t="str">
            <v>Picada Café</v>
          </cell>
        </row>
        <row r="1832">
          <cell r="E1832" t="str">
            <v>Pinhal</v>
          </cell>
        </row>
        <row r="1833">
          <cell r="E1833" t="str">
            <v>Pinhal Grande</v>
          </cell>
        </row>
        <row r="1834">
          <cell r="E1834" t="str">
            <v>Pinheirinho do Vale</v>
          </cell>
        </row>
        <row r="1835">
          <cell r="E1835" t="str">
            <v>Pinheiro Machado</v>
          </cell>
        </row>
        <row r="1836">
          <cell r="E1836" t="str">
            <v>Pirapó</v>
          </cell>
        </row>
        <row r="1837">
          <cell r="E1837" t="str">
            <v>Piratini</v>
          </cell>
        </row>
        <row r="1838">
          <cell r="E1838" t="str">
            <v>Planalto</v>
          </cell>
        </row>
        <row r="1839">
          <cell r="E1839" t="str">
            <v>Poço das Antas</v>
          </cell>
        </row>
        <row r="1840">
          <cell r="E1840" t="str">
            <v>Pontão</v>
          </cell>
        </row>
        <row r="1841">
          <cell r="E1841" t="str">
            <v>Ponte Preta</v>
          </cell>
        </row>
        <row r="1842">
          <cell r="E1842" t="str">
            <v>Portão</v>
          </cell>
        </row>
        <row r="1843">
          <cell r="E1843" t="str">
            <v>Porto Alegre</v>
          </cell>
        </row>
        <row r="1844">
          <cell r="E1844" t="str">
            <v>Porto Lucena</v>
          </cell>
        </row>
        <row r="1845">
          <cell r="E1845" t="str">
            <v>Porto Mauá</v>
          </cell>
        </row>
        <row r="1846">
          <cell r="E1846" t="str">
            <v>Porto Vera Cruz</v>
          </cell>
        </row>
        <row r="1847">
          <cell r="E1847" t="str">
            <v>Porto Xavier</v>
          </cell>
        </row>
        <row r="1848">
          <cell r="E1848" t="str">
            <v>Pouso Novo</v>
          </cell>
        </row>
        <row r="1849">
          <cell r="E1849" t="str">
            <v>Presidente Lucena</v>
          </cell>
        </row>
        <row r="1850">
          <cell r="E1850" t="str">
            <v>Progresso</v>
          </cell>
        </row>
        <row r="1851">
          <cell r="E1851" t="str">
            <v>Protásio Alves</v>
          </cell>
        </row>
        <row r="1852">
          <cell r="E1852" t="str">
            <v>Putinga</v>
          </cell>
        </row>
        <row r="1853">
          <cell r="E1853" t="str">
            <v>Quaraí</v>
          </cell>
        </row>
        <row r="1854">
          <cell r="E1854" t="str">
            <v>Quevedos</v>
          </cell>
        </row>
        <row r="1855">
          <cell r="E1855" t="str">
            <v>Quinze de Novembro</v>
          </cell>
        </row>
        <row r="1856">
          <cell r="E1856" t="str">
            <v>Redentora</v>
          </cell>
        </row>
        <row r="1857">
          <cell r="E1857" t="str">
            <v>Relvado</v>
          </cell>
        </row>
        <row r="1858">
          <cell r="E1858" t="str">
            <v>Restinga Seca</v>
          </cell>
        </row>
        <row r="1859">
          <cell r="E1859" t="str">
            <v>Rio dos Índios</v>
          </cell>
        </row>
        <row r="1860">
          <cell r="E1860" t="str">
            <v>Rio Grande</v>
          </cell>
        </row>
        <row r="1861">
          <cell r="E1861" t="str">
            <v>Rio Pardo</v>
          </cell>
        </row>
        <row r="1862">
          <cell r="E1862" t="str">
            <v>Riozinho</v>
          </cell>
        </row>
        <row r="1863">
          <cell r="E1863" t="str">
            <v>Roca Sales</v>
          </cell>
        </row>
        <row r="1864">
          <cell r="E1864" t="str">
            <v>Rodeio Bonito</v>
          </cell>
        </row>
        <row r="1865">
          <cell r="E1865" t="str">
            <v>Rolante</v>
          </cell>
        </row>
        <row r="1866">
          <cell r="E1866" t="str">
            <v>Ronda Alta</v>
          </cell>
        </row>
        <row r="1867">
          <cell r="E1867" t="str">
            <v>Rondinha</v>
          </cell>
        </row>
        <row r="1868">
          <cell r="E1868" t="str">
            <v>Roque Gonzales</v>
          </cell>
        </row>
        <row r="1869">
          <cell r="E1869" t="str">
            <v>Rosário do Sul</v>
          </cell>
        </row>
        <row r="1870">
          <cell r="E1870" t="str">
            <v>Sagrada Família</v>
          </cell>
        </row>
        <row r="1871">
          <cell r="E1871" t="str">
            <v>Saldanha Marinho</v>
          </cell>
        </row>
        <row r="1872">
          <cell r="E1872" t="str">
            <v>Salto do Jacuí</v>
          </cell>
        </row>
        <row r="1873">
          <cell r="E1873" t="str">
            <v>Salvador das Missões</v>
          </cell>
        </row>
        <row r="1874">
          <cell r="E1874" t="str">
            <v>Salvador do Sul</v>
          </cell>
        </row>
        <row r="1875">
          <cell r="E1875" t="str">
            <v>Sananduva</v>
          </cell>
        </row>
        <row r="1876">
          <cell r="E1876" t="str">
            <v>Santa Bárbara do Sul</v>
          </cell>
        </row>
        <row r="1877">
          <cell r="E1877" t="str">
            <v>Santa Clara do Sul</v>
          </cell>
        </row>
        <row r="1878">
          <cell r="E1878" t="str">
            <v>Santa Cruz do Sul</v>
          </cell>
        </row>
        <row r="1879">
          <cell r="E1879" t="str">
            <v>Santa Maria</v>
          </cell>
        </row>
        <row r="1880">
          <cell r="E1880" t="str">
            <v>Santa Maria do Herval</v>
          </cell>
        </row>
        <row r="1881">
          <cell r="E1881" t="str">
            <v>Santa Rosa</v>
          </cell>
        </row>
        <row r="1882">
          <cell r="E1882" t="str">
            <v>Santa Tereza</v>
          </cell>
        </row>
        <row r="1883">
          <cell r="E1883" t="str">
            <v>Santa Vitória do Palmar</v>
          </cell>
        </row>
        <row r="1884">
          <cell r="E1884" t="str">
            <v>Santana da Boa Vista</v>
          </cell>
        </row>
        <row r="1885">
          <cell r="E1885" t="str">
            <v>Santana do Livramento</v>
          </cell>
        </row>
        <row r="1886">
          <cell r="E1886" t="str">
            <v>Santiago</v>
          </cell>
        </row>
        <row r="1887">
          <cell r="E1887" t="str">
            <v>Santo Ângelo</v>
          </cell>
        </row>
        <row r="1888">
          <cell r="E1888" t="str">
            <v>Santo Antônio da Patrulha</v>
          </cell>
        </row>
        <row r="1889">
          <cell r="E1889" t="str">
            <v>Santo Antônio das Missões</v>
          </cell>
        </row>
        <row r="1890">
          <cell r="E1890" t="str">
            <v>Santo Antônio do Palma</v>
          </cell>
        </row>
        <row r="1891">
          <cell r="E1891" t="str">
            <v>Santo Antônio do Planalto</v>
          </cell>
        </row>
        <row r="1892">
          <cell r="E1892" t="str">
            <v>Santo Augusto</v>
          </cell>
        </row>
        <row r="1893">
          <cell r="E1893" t="str">
            <v>Santo Cristo</v>
          </cell>
        </row>
        <row r="1894">
          <cell r="E1894" t="str">
            <v>Santo Expedito do Sul</v>
          </cell>
        </row>
        <row r="1895">
          <cell r="E1895" t="str">
            <v>São Borja</v>
          </cell>
        </row>
        <row r="1896">
          <cell r="E1896" t="str">
            <v>São Domingos do Sul</v>
          </cell>
        </row>
        <row r="1897">
          <cell r="E1897" t="str">
            <v>São Francisco de Assis</v>
          </cell>
        </row>
        <row r="1898">
          <cell r="E1898" t="str">
            <v>São Francisco de Paula</v>
          </cell>
        </row>
        <row r="1899">
          <cell r="E1899" t="str">
            <v>São Gabriel</v>
          </cell>
        </row>
        <row r="1900">
          <cell r="E1900" t="str">
            <v>São Jerônimo</v>
          </cell>
        </row>
        <row r="1901">
          <cell r="E1901" t="str">
            <v>São João da Urtiga</v>
          </cell>
        </row>
        <row r="1902">
          <cell r="E1902" t="str">
            <v>São João do Polêsine</v>
          </cell>
        </row>
        <row r="1903">
          <cell r="E1903" t="str">
            <v>São Jorge</v>
          </cell>
        </row>
        <row r="1904">
          <cell r="E1904" t="str">
            <v>São José das Missões</v>
          </cell>
        </row>
        <row r="1905">
          <cell r="E1905" t="str">
            <v>São José do Herval</v>
          </cell>
        </row>
        <row r="1906">
          <cell r="E1906" t="str">
            <v>São José do Hortêncio</v>
          </cell>
        </row>
        <row r="1907">
          <cell r="E1907" t="str">
            <v>São José do Inhacorá</v>
          </cell>
        </row>
        <row r="1908">
          <cell r="E1908" t="str">
            <v>São José do Norte</v>
          </cell>
        </row>
        <row r="1909">
          <cell r="E1909" t="str">
            <v>São José do Ouro</v>
          </cell>
        </row>
        <row r="1910">
          <cell r="E1910" t="str">
            <v>São José dos Ausentes</v>
          </cell>
        </row>
        <row r="1911">
          <cell r="E1911" t="str">
            <v>São Leopoldo</v>
          </cell>
        </row>
        <row r="1912">
          <cell r="E1912" t="str">
            <v>São Lourenço do Sul</v>
          </cell>
        </row>
        <row r="1913">
          <cell r="E1913" t="str">
            <v>São Luiz Gonzaga</v>
          </cell>
        </row>
        <row r="1914">
          <cell r="E1914" t="str">
            <v>São Marcos</v>
          </cell>
        </row>
        <row r="1915">
          <cell r="E1915" t="str">
            <v>São Martinho</v>
          </cell>
        </row>
        <row r="1916">
          <cell r="E1916" t="str">
            <v>São Martinho da Serra</v>
          </cell>
        </row>
        <row r="1917">
          <cell r="E1917" t="str">
            <v>São Miguel das Missões</v>
          </cell>
        </row>
        <row r="1918">
          <cell r="E1918" t="str">
            <v>São Nicolau</v>
          </cell>
        </row>
        <row r="1919">
          <cell r="E1919" t="str">
            <v>São Paulo das Missões</v>
          </cell>
        </row>
        <row r="1920">
          <cell r="E1920" t="str">
            <v>São Pedro da Serra</v>
          </cell>
        </row>
        <row r="1921">
          <cell r="E1921" t="str">
            <v>São Pedro do Butiá</v>
          </cell>
        </row>
        <row r="1922">
          <cell r="E1922" t="str">
            <v>São Pedro do Sul</v>
          </cell>
        </row>
        <row r="1923">
          <cell r="E1923" t="str">
            <v>São Sebastião do Caí</v>
          </cell>
        </row>
        <row r="1924">
          <cell r="E1924" t="str">
            <v>São Sepé</v>
          </cell>
        </row>
        <row r="1925">
          <cell r="E1925" t="str">
            <v>São Valentim</v>
          </cell>
        </row>
        <row r="1926">
          <cell r="E1926" t="str">
            <v>São Valentim do Sul</v>
          </cell>
        </row>
        <row r="1927">
          <cell r="E1927" t="str">
            <v>São Valério do Sul</v>
          </cell>
        </row>
        <row r="1928">
          <cell r="E1928" t="str">
            <v>São Vendelino</v>
          </cell>
        </row>
        <row r="1929">
          <cell r="E1929" t="str">
            <v>São Vicente do Sul</v>
          </cell>
        </row>
        <row r="1930">
          <cell r="E1930" t="str">
            <v>Sapiranga</v>
          </cell>
        </row>
        <row r="1931">
          <cell r="E1931" t="str">
            <v>Sapucaia do Sul</v>
          </cell>
        </row>
        <row r="1932">
          <cell r="E1932" t="str">
            <v>Sarandi</v>
          </cell>
        </row>
        <row r="1933">
          <cell r="E1933" t="str">
            <v>Seberi</v>
          </cell>
        </row>
        <row r="1934">
          <cell r="E1934" t="str">
            <v>Sede Nova</v>
          </cell>
        </row>
        <row r="1935">
          <cell r="E1935" t="str">
            <v>Segredo</v>
          </cell>
        </row>
        <row r="1936">
          <cell r="E1936" t="str">
            <v>Selbach</v>
          </cell>
        </row>
        <row r="1937">
          <cell r="E1937" t="str">
            <v>Senador Salgado Filho</v>
          </cell>
        </row>
        <row r="1938">
          <cell r="E1938" t="str">
            <v>Sentinela do Sul</v>
          </cell>
        </row>
        <row r="1939">
          <cell r="E1939" t="str">
            <v>Serafina Corrêa</v>
          </cell>
        </row>
        <row r="1940">
          <cell r="E1940" t="str">
            <v>Sério</v>
          </cell>
        </row>
        <row r="1941">
          <cell r="E1941" t="str">
            <v>Sertão</v>
          </cell>
        </row>
        <row r="1942">
          <cell r="E1942" t="str">
            <v>Sertão Santana</v>
          </cell>
        </row>
        <row r="1943">
          <cell r="E1943" t="str">
            <v>Sete de Setembro</v>
          </cell>
        </row>
        <row r="1944">
          <cell r="E1944" t="str">
            <v>Severiano de Almeida</v>
          </cell>
        </row>
        <row r="1945">
          <cell r="E1945" t="str">
            <v>Silveira Martins</v>
          </cell>
        </row>
        <row r="1946">
          <cell r="E1946" t="str">
            <v>Sinimbu</v>
          </cell>
        </row>
        <row r="1947">
          <cell r="E1947" t="str">
            <v>Sobradinho</v>
          </cell>
        </row>
        <row r="1948">
          <cell r="E1948" t="str">
            <v>Soledade</v>
          </cell>
        </row>
        <row r="1949">
          <cell r="E1949" t="str">
            <v>Tabaí</v>
          </cell>
        </row>
        <row r="1950">
          <cell r="E1950" t="str">
            <v>Tapejara</v>
          </cell>
        </row>
        <row r="1951">
          <cell r="E1951" t="str">
            <v>Tapera</v>
          </cell>
        </row>
        <row r="1952">
          <cell r="E1952" t="str">
            <v>Tapes</v>
          </cell>
        </row>
        <row r="1953">
          <cell r="E1953" t="str">
            <v>Taquara</v>
          </cell>
        </row>
        <row r="1954">
          <cell r="E1954" t="str">
            <v>Taquari</v>
          </cell>
        </row>
        <row r="1955">
          <cell r="E1955" t="str">
            <v>Taquaruçu do Sul</v>
          </cell>
        </row>
        <row r="1956">
          <cell r="E1956" t="str">
            <v>Tavares</v>
          </cell>
        </row>
        <row r="1957">
          <cell r="E1957" t="str">
            <v>Tenente Portela</v>
          </cell>
        </row>
        <row r="1958">
          <cell r="E1958" t="str">
            <v>Terra de Areia</v>
          </cell>
        </row>
        <row r="1959">
          <cell r="E1959" t="str">
            <v>Teutônia</v>
          </cell>
        </row>
        <row r="1960">
          <cell r="E1960" t="str">
            <v>Tiradentes do Sul</v>
          </cell>
        </row>
        <row r="1961">
          <cell r="E1961" t="str">
            <v>Toropi</v>
          </cell>
        </row>
        <row r="1962">
          <cell r="E1962" t="str">
            <v>Torres</v>
          </cell>
        </row>
        <row r="1963">
          <cell r="E1963" t="str">
            <v>Tramandaí</v>
          </cell>
        </row>
        <row r="1964">
          <cell r="E1964" t="str">
            <v>Travesseiro</v>
          </cell>
        </row>
        <row r="1965">
          <cell r="E1965" t="str">
            <v>Três Arroios</v>
          </cell>
        </row>
        <row r="1966">
          <cell r="E1966" t="str">
            <v>Três Cachoeiras</v>
          </cell>
        </row>
        <row r="1967">
          <cell r="E1967" t="str">
            <v>Três Coroas</v>
          </cell>
        </row>
        <row r="1968">
          <cell r="E1968" t="str">
            <v>Três de Maio</v>
          </cell>
        </row>
        <row r="1969">
          <cell r="E1969" t="str">
            <v>Três Forquilhas</v>
          </cell>
        </row>
        <row r="1970">
          <cell r="E1970" t="str">
            <v>Três Palmeiras</v>
          </cell>
        </row>
        <row r="1971">
          <cell r="E1971" t="str">
            <v>Três Passos</v>
          </cell>
        </row>
        <row r="1972">
          <cell r="E1972" t="str">
            <v>Trindade do Sul</v>
          </cell>
        </row>
        <row r="1973">
          <cell r="E1973" t="str">
            <v>Triunfo</v>
          </cell>
        </row>
        <row r="1974">
          <cell r="E1974" t="str">
            <v>Tucunduva</v>
          </cell>
        </row>
        <row r="1975">
          <cell r="E1975" t="str">
            <v>Tunas</v>
          </cell>
        </row>
        <row r="1976">
          <cell r="E1976" t="str">
            <v>Tupanci do Sul</v>
          </cell>
        </row>
        <row r="1977">
          <cell r="E1977" t="str">
            <v>Tupanciretã</v>
          </cell>
        </row>
        <row r="1978">
          <cell r="E1978" t="str">
            <v>Tupandi</v>
          </cell>
        </row>
        <row r="1979">
          <cell r="E1979" t="str">
            <v>Tuparendi</v>
          </cell>
        </row>
        <row r="1980">
          <cell r="E1980" t="str">
            <v>Turuçu</v>
          </cell>
        </row>
        <row r="1981">
          <cell r="E1981" t="str">
            <v>Ubiretama</v>
          </cell>
        </row>
        <row r="1982">
          <cell r="E1982" t="str">
            <v>União da Serra</v>
          </cell>
        </row>
        <row r="1983">
          <cell r="E1983" t="str">
            <v>Unistalda</v>
          </cell>
        </row>
        <row r="1984">
          <cell r="E1984" t="str">
            <v>Uruguaiana</v>
          </cell>
        </row>
        <row r="1985">
          <cell r="E1985" t="str">
            <v>Vacaria</v>
          </cell>
        </row>
        <row r="1986">
          <cell r="E1986" t="str">
            <v>Vale do Sol</v>
          </cell>
        </row>
        <row r="1987">
          <cell r="E1987" t="str">
            <v>Vale Real</v>
          </cell>
        </row>
        <row r="1988">
          <cell r="E1988" t="str">
            <v>Vale Verde</v>
          </cell>
        </row>
        <row r="1989">
          <cell r="E1989" t="str">
            <v>Vanini</v>
          </cell>
        </row>
        <row r="1990">
          <cell r="E1990" t="str">
            <v>Venâncio Aires</v>
          </cell>
        </row>
        <row r="1991">
          <cell r="E1991" t="str">
            <v>Vera Cruz</v>
          </cell>
        </row>
        <row r="1992">
          <cell r="E1992" t="str">
            <v>Veranópolis</v>
          </cell>
        </row>
        <row r="1993">
          <cell r="E1993" t="str">
            <v>Vespasiano Correa</v>
          </cell>
        </row>
        <row r="1994">
          <cell r="E1994" t="str">
            <v>Viadutos</v>
          </cell>
        </row>
        <row r="1995">
          <cell r="E1995" t="str">
            <v>Viamão</v>
          </cell>
        </row>
        <row r="1996">
          <cell r="E1996" t="str">
            <v>Vicente Dutra</v>
          </cell>
        </row>
        <row r="1997">
          <cell r="E1997" t="str">
            <v>Victor Graeff</v>
          </cell>
        </row>
        <row r="1998">
          <cell r="E1998" t="str">
            <v>Vila Flores</v>
          </cell>
        </row>
        <row r="1999">
          <cell r="E1999" t="str">
            <v>Vila Lângaro</v>
          </cell>
        </row>
        <row r="2000">
          <cell r="E2000" t="str">
            <v>Vila Maria</v>
          </cell>
        </row>
        <row r="2001">
          <cell r="E2001" t="str">
            <v>Vila Nova do Sul</v>
          </cell>
        </row>
        <row r="2002">
          <cell r="E2002" t="str">
            <v>Vista Alegre</v>
          </cell>
        </row>
        <row r="2003">
          <cell r="E2003" t="str">
            <v>Vista Alegre do Prata</v>
          </cell>
        </row>
        <row r="2004">
          <cell r="E2004" t="str">
            <v>Vista Gaúcha</v>
          </cell>
        </row>
        <row r="2005">
          <cell r="E2005" t="str">
            <v>Vitória das Missões</v>
          </cell>
        </row>
        <row r="2006">
          <cell r="E2006" t="str">
            <v>Xangri-lá</v>
          </cell>
        </row>
        <row r="2011">
          <cell r="E2011" t="str">
            <v>Abdon Batista</v>
          </cell>
        </row>
        <row r="2012">
          <cell r="E2012" t="str">
            <v>Abelardo Luz</v>
          </cell>
        </row>
        <row r="2013">
          <cell r="E2013" t="str">
            <v>Agrolândia</v>
          </cell>
        </row>
        <row r="2014">
          <cell r="E2014" t="str">
            <v>Agronômica</v>
          </cell>
        </row>
        <row r="2015">
          <cell r="E2015" t="str">
            <v>Água Doce</v>
          </cell>
        </row>
        <row r="2016">
          <cell r="E2016" t="str">
            <v>Águas de Chapecó</v>
          </cell>
        </row>
        <row r="2017">
          <cell r="E2017" t="str">
            <v>Águas Frias</v>
          </cell>
        </row>
        <row r="2018">
          <cell r="E2018" t="str">
            <v>Águas Mornas</v>
          </cell>
        </row>
        <row r="2019">
          <cell r="E2019" t="str">
            <v>Alfredo Wagner</v>
          </cell>
        </row>
        <row r="2020">
          <cell r="E2020" t="str">
            <v>Alto Bela Vista</v>
          </cell>
        </row>
        <row r="2021">
          <cell r="E2021" t="str">
            <v>Anchieta</v>
          </cell>
        </row>
        <row r="2022">
          <cell r="E2022" t="str">
            <v>Angelina</v>
          </cell>
        </row>
        <row r="2023">
          <cell r="E2023" t="str">
            <v>Anita Garibaldi</v>
          </cell>
        </row>
        <row r="2024">
          <cell r="E2024" t="str">
            <v>Anitápolis</v>
          </cell>
        </row>
        <row r="2025">
          <cell r="E2025" t="str">
            <v>Antônio Carlos</v>
          </cell>
        </row>
        <row r="2026">
          <cell r="E2026" t="str">
            <v>Apiúna</v>
          </cell>
        </row>
        <row r="2027">
          <cell r="E2027" t="str">
            <v>Arabutã</v>
          </cell>
        </row>
        <row r="2028">
          <cell r="E2028" t="str">
            <v>Araquari</v>
          </cell>
        </row>
        <row r="2029">
          <cell r="E2029" t="str">
            <v>Araranguá</v>
          </cell>
        </row>
        <row r="2030">
          <cell r="E2030" t="str">
            <v>Armazém</v>
          </cell>
        </row>
        <row r="2031">
          <cell r="E2031" t="str">
            <v>Arroio Trinta</v>
          </cell>
        </row>
        <row r="2032">
          <cell r="E2032" t="str">
            <v>Arvoredo</v>
          </cell>
        </row>
        <row r="2033">
          <cell r="E2033" t="str">
            <v>Ascurra</v>
          </cell>
        </row>
        <row r="2034">
          <cell r="E2034" t="str">
            <v>Atalanta</v>
          </cell>
        </row>
        <row r="2035">
          <cell r="E2035" t="str">
            <v>Aurora</v>
          </cell>
        </row>
        <row r="2036">
          <cell r="E2036" t="str">
            <v>Balneário Arroio do Silva</v>
          </cell>
        </row>
        <row r="2037">
          <cell r="E2037" t="str">
            <v>Balneário Barra do Sul</v>
          </cell>
        </row>
        <row r="2038">
          <cell r="E2038" t="str">
            <v>Balneário Camboriú</v>
          </cell>
        </row>
        <row r="2039">
          <cell r="E2039" t="str">
            <v>Balneário Gaivota</v>
          </cell>
        </row>
        <row r="2040">
          <cell r="E2040" t="str">
            <v>Bandeirante</v>
          </cell>
        </row>
        <row r="2041">
          <cell r="E2041" t="str">
            <v>Barra Bonita</v>
          </cell>
        </row>
        <row r="2042">
          <cell r="E2042" t="str">
            <v>Barra Velha</v>
          </cell>
        </row>
        <row r="2043">
          <cell r="E2043" t="str">
            <v>Bela Vista do Toldo</v>
          </cell>
        </row>
        <row r="2044">
          <cell r="E2044" t="str">
            <v>Belmonte</v>
          </cell>
        </row>
        <row r="2045">
          <cell r="E2045" t="str">
            <v>Benedito Novo</v>
          </cell>
        </row>
        <row r="2046">
          <cell r="E2046" t="str">
            <v>Biguaçu</v>
          </cell>
        </row>
        <row r="2047">
          <cell r="E2047" t="str">
            <v>Blumenau</v>
          </cell>
        </row>
        <row r="2048">
          <cell r="E2048" t="str">
            <v>Bocaina do Sul</v>
          </cell>
        </row>
        <row r="2049">
          <cell r="E2049" t="str">
            <v>Bom Jardim da Serra</v>
          </cell>
        </row>
        <row r="2050">
          <cell r="E2050" t="str">
            <v>Bom Jesus</v>
          </cell>
        </row>
        <row r="2051">
          <cell r="E2051" t="str">
            <v>Bom Jesus do Oeste</v>
          </cell>
        </row>
        <row r="2052">
          <cell r="E2052" t="str">
            <v>Bom Retiro</v>
          </cell>
        </row>
        <row r="2053">
          <cell r="E2053" t="str">
            <v>Bombinhas</v>
          </cell>
        </row>
        <row r="2054">
          <cell r="E2054" t="str">
            <v>Botuverá</v>
          </cell>
        </row>
        <row r="2055">
          <cell r="E2055" t="str">
            <v>Braço do Norte</v>
          </cell>
        </row>
        <row r="2056">
          <cell r="E2056" t="str">
            <v>Braço do Trombudo</v>
          </cell>
        </row>
        <row r="2057">
          <cell r="E2057" t="str">
            <v>Brunópolis</v>
          </cell>
        </row>
        <row r="2058">
          <cell r="E2058" t="str">
            <v>Brusque</v>
          </cell>
        </row>
        <row r="2059">
          <cell r="E2059" t="str">
            <v>Caçador</v>
          </cell>
        </row>
        <row r="2060">
          <cell r="E2060" t="str">
            <v>Caibi</v>
          </cell>
        </row>
        <row r="2061">
          <cell r="E2061" t="str">
            <v>Calmon</v>
          </cell>
        </row>
        <row r="2062">
          <cell r="E2062" t="str">
            <v>Camboriú</v>
          </cell>
        </row>
        <row r="2063">
          <cell r="E2063" t="str">
            <v>Campo Alegre</v>
          </cell>
        </row>
        <row r="2064">
          <cell r="E2064" t="str">
            <v>Campo Belo do Sul</v>
          </cell>
        </row>
        <row r="2065">
          <cell r="E2065" t="str">
            <v>Campo Erê</v>
          </cell>
        </row>
        <row r="2066">
          <cell r="E2066" t="str">
            <v>Campos Novos</v>
          </cell>
        </row>
        <row r="2067">
          <cell r="E2067" t="str">
            <v>Canelinha</v>
          </cell>
        </row>
        <row r="2068">
          <cell r="E2068" t="str">
            <v>Canoinhas</v>
          </cell>
        </row>
        <row r="2069">
          <cell r="E2069" t="str">
            <v>Capão Alto</v>
          </cell>
        </row>
        <row r="2070">
          <cell r="E2070" t="str">
            <v>Capinzal</v>
          </cell>
        </row>
        <row r="2071">
          <cell r="E2071" t="str">
            <v>Capivari de Baixo</v>
          </cell>
        </row>
        <row r="2072">
          <cell r="E2072" t="str">
            <v>Catanduvas</v>
          </cell>
        </row>
        <row r="2073">
          <cell r="E2073" t="str">
            <v>Caxambu do Sul</v>
          </cell>
        </row>
        <row r="2074">
          <cell r="E2074" t="str">
            <v>Celso Ramos</v>
          </cell>
        </row>
        <row r="2075">
          <cell r="E2075" t="str">
            <v>Cerro Negro</v>
          </cell>
        </row>
        <row r="2076">
          <cell r="E2076" t="str">
            <v>Chapadão do Lageado</v>
          </cell>
        </row>
        <row r="2077">
          <cell r="E2077" t="str">
            <v>Chapecó</v>
          </cell>
        </row>
        <row r="2078">
          <cell r="E2078" t="str">
            <v>Cocal do Sul</v>
          </cell>
        </row>
        <row r="2079">
          <cell r="E2079" t="str">
            <v>Concórdia</v>
          </cell>
        </row>
        <row r="2080">
          <cell r="E2080" t="str">
            <v>Cordilheira Alta</v>
          </cell>
        </row>
        <row r="2081">
          <cell r="E2081" t="str">
            <v>Coronel Freitas</v>
          </cell>
        </row>
        <row r="2082">
          <cell r="E2082" t="str">
            <v>Coronel Martins</v>
          </cell>
        </row>
        <row r="2083">
          <cell r="E2083" t="str">
            <v>Correia Pinto</v>
          </cell>
        </row>
        <row r="2084">
          <cell r="E2084" t="str">
            <v>Corupá</v>
          </cell>
        </row>
        <row r="2085">
          <cell r="E2085" t="str">
            <v>Criciúma</v>
          </cell>
        </row>
        <row r="2086">
          <cell r="E2086" t="str">
            <v>Cunha Porã</v>
          </cell>
        </row>
        <row r="2087">
          <cell r="E2087" t="str">
            <v>Cunhataí</v>
          </cell>
        </row>
        <row r="2088">
          <cell r="E2088" t="str">
            <v>Curitibanos</v>
          </cell>
        </row>
        <row r="2089">
          <cell r="E2089" t="str">
            <v>Descanso</v>
          </cell>
        </row>
        <row r="2090">
          <cell r="E2090" t="str">
            <v>Dionísio Cerqueira</v>
          </cell>
        </row>
        <row r="2091">
          <cell r="E2091" t="str">
            <v>Dona Emma</v>
          </cell>
        </row>
        <row r="2092">
          <cell r="E2092" t="str">
            <v>Doutor Pedrinho</v>
          </cell>
        </row>
        <row r="2093">
          <cell r="E2093" t="str">
            <v>Entre Rios</v>
          </cell>
        </row>
        <row r="2094">
          <cell r="E2094" t="str">
            <v>Ermo</v>
          </cell>
        </row>
        <row r="2095">
          <cell r="E2095" t="str">
            <v>Erval Velho</v>
          </cell>
        </row>
        <row r="2096">
          <cell r="E2096" t="str">
            <v>Faxinal dos Guedes</v>
          </cell>
        </row>
        <row r="2097">
          <cell r="E2097" t="str">
            <v>Flor do Sertão</v>
          </cell>
        </row>
        <row r="2098">
          <cell r="E2098" t="str">
            <v>Florianópolis</v>
          </cell>
        </row>
        <row r="2099">
          <cell r="E2099" t="str">
            <v>Formosa do Sul</v>
          </cell>
        </row>
        <row r="2100">
          <cell r="E2100" t="str">
            <v>Forquilhinha</v>
          </cell>
        </row>
        <row r="2101">
          <cell r="E2101" t="str">
            <v>Fraiburgo</v>
          </cell>
        </row>
        <row r="2102">
          <cell r="E2102" t="str">
            <v>Frei Rogério</v>
          </cell>
        </row>
        <row r="2103">
          <cell r="E2103" t="str">
            <v>Galvão</v>
          </cell>
        </row>
        <row r="2104">
          <cell r="E2104" t="str">
            <v>Garopaba</v>
          </cell>
        </row>
        <row r="2105">
          <cell r="E2105" t="str">
            <v>Garuva</v>
          </cell>
        </row>
        <row r="2106">
          <cell r="E2106" t="str">
            <v>Gaspar</v>
          </cell>
        </row>
        <row r="2107">
          <cell r="E2107" t="str">
            <v>Governador Celso Ramos</v>
          </cell>
        </row>
        <row r="2108">
          <cell r="E2108" t="str">
            <v>Grão Pará</v>
          </cell>
        </row>
        <row r="2109">
          <cell r="E2109" t="str">
            <v>Gravatal</v>
          </cell>
        </row>
        <row r="2110">
          <cell r="E2110" t="str">
            <v>Guabiruba</v>
          </cell>
        </row>
        <row r="2111">
          <cell r="E2111" t="str">
            <v>Guaraciaba</v>
          </cell>
        </row>
        <row r="2112">
          <cell r="E2112" t="str">
            <v>Guaramirim</v>
          </cell>
        </row>
        <row r="2113">
          <cell r="E2113" t="str">
            <v>Guarujá do Sul</v>
          </cell>
        </row>
        <row r="2114">
          <cell r="E2114" t="str">
            <v>Guatambú</v>
          </cell>
        </row>
        <row r="2115">
          <cell r="E2115" t="str">
            <v>Herval d'Oeste</v>
          </cell>
        </row>
        <row r="2116">
          <cell r="E2116" t="str">
            <v>Ibiam</v>
          </cell>
        </row>
        <row r="2117">
          <cell r="E2117" t="str">
            <v>Ibicaré</v>
          </cell>
        </row>
        <row r="2118">
          <cell r="E2118" t="str">
            <v>Ibirama</v>
          </cell>
        </row>
        <row r="2119">
          <cell r="E2119" t="str">
            <v>Içara</v>
          </cell>
        </row>
        <row r="2120">
          <cell r="E2120" t="str">
            <v>Ilhota</v>
          </cell>
        </row>
        <row r="2121">
          <cell r="E2121" t="str">
            <v>Imaruí</v>
          </cell>
        </row>
        <row r="2122">
          <cell r="E2122" t="str">
            <v>Imbituba</v>
          </cell>
        </row>
        <row r="2123">
          <cell r="E2123" t="str">
            <v>Imbuia</v>
          </cell>
        </row>
        <row r="2124">
          <cell r="E2124" t="str">
            <v>Indaial</v>
          </cell>
        </row>
        <row r="2125">
          <cell r="E2125" t="str">
            <v>Iomerê</v>
          </cell>
        </row>
        <row r="2126">
          <cell r="E2126" t="str">
            <v>Ipira</v>
          </cell>
        </row>
        <row r="2127">
          <cell r="E2127" t="str">
            <v>Iporã do Oeste</v>
          </cell>
        </row>
        <row r="2128">
          <cell r="E2128" t="str">
            <v>Ipuaçu</v>
          </cell>
        </row>
        <row r="2129">
          <cell r="E2129" t="str">
            <v>Ipumirim</v>
          </cell>
        </row>
        <row r="2130">
          <cell r="E2130" t="str">
            <v>Iraceminha</v>
          </cell>
        </row>
        <row r="2131">
          <cell r="E2131" t="str">
            <v>Irani</v>
          </cell>
        </row>
        <row r="2132">
          <cell r="E2132" t="str">
            <v>Irati</v>
          </cell>
        </row>
        <row r="2133">
          <cell r="E2133" t="str">
            <v>Irineópolis</v>
          </cell>
        </row>
        <row r="2134">
          <cell r="E2134" t="str">
            <v>Itá</v>
          </cell>
        </row>
        <row r="2135">
          <cell r="E2135" t="str">
            <v>Itaiópolis</v>
          </cell>
        </row>
        <row r="2136">
          <cell r="E2136" t="str">
            <v>Itajaí</v>
          </cell>
        </row>
        <row r="2137">
          <cell r="E2137" t="str">
            <v>Itapema</v>
          </cell>
        </row>
        <row r="2138">
          <cell r="E2138" t="str">
            <v>Itapiranga</v>
          </cell>
        </row>
        <row r="2139">
          <cell r="E2139" t="str">
            <v>Itapoá</v>
          </cell>
        </row>
        <row r="2140">
          <cell r="E2140" t="str">
            <v>Ituporanga</v>
          </cell>
        </row>
        <row r="2141">
          <cell r="E2141" t="str">
            <v>Jaborá</v>
          </cell>
        </row>
        <row r="2142">
          <cell r="E2142" t="str">
            <v>Jacinto Machado</v>
          </cell>
        </row>
        <row r="2143">
          <cell r="E2143" t="str">
            <v>Jaguaruna</v>
          </cell>
        </row>
        <row r="2144">
          <cell r="E2144" t="str">
            <v>Jaraguá do Sul</v>
          </cell>
        </row>
        <row r="2145">
          <cell r="E2145" t="str">
            <v>Jardinópolis</v>
          </cell>
        </row>
        <row r="2146">
          <cell r="E2146" t="str">
            <v>Joaçaba</v>
          </cell>
        </row>
        <row r="2147">
          <cell r="E2147" t="str">
            <v>Joinville</v>
          </cell>
        </row>
        <row r="2148">
          <cell r="E2148" t="str">
            <v>José Boiteux</v>
          </cell>
        </row>
        <row r="2149">
          <cell r="E2149" t="str">
            <v>Jupiá</v>
          </cell>
        </row>
        <row r="2150">
          <cell r="E2150" t="str">
            <v>Lacerdópolis</v>
          </cell>
        </row>
        <row r="2151">
          <cell r="E2151" t="str">
            <v>Lages</v>
          </cell>
        </row>
        <row r="2152">
          <cell r="E2152" t="str">
            <v>Laguna</v>
          </cell>
        </row>
        <row r="2153">
          <cell r="E2153" t="str">
            <v>Lajeado Grande</v>
          </cell>
        </row>
        <row r="2154">
          <cell r="E2154" t="str">
            <v>Laurentino</v>
          </cell>
        </row>
        <row r="2155">
          <cell r="E2155" t="str">
            <v>Lauro Muller</v>
          </cell>
        </row>
        <row r="2156">
          <cell r="E2156" t="str">
            <v>Lebon Régis</v>
          </cell>
        </row>
        <row r="2157">
          <cell r="E2157" t="str">
            <v>Leoberto Leal</v>
          </cell>
        </row>
        <row r="2158">
          <cell r="E2158" t="str">
            <v>Lindóia do Sul</v>
          </cell>
        </row>
        <row r="2159">
          <cell r="E2159" t="str">
            <v>Lontras</v>
          </cell>
        </row>
        <row r="2160">
          <cell r="E2160" t="str">
            <v>Luiz Alves</v>
          </cell>
        </row>
        <row r="2161">
          <cell r="E2161" t="str">
            <v>Luzerna</v>
          </cell>
        </row>
        <row r="2162">
          <cell r="E2162" t="str">
            <v>Macieira</v>
          </cell>
        </row>
        <row r="2163">
          <cell r="E2163" t="str">
            <v>Mafra</v>
          </cell>
        </row>
        <row r="2164">
          <cell r="E2164" t="str">
            <v>Major Gercino</v>
          </cell>
        </row>
        <row r="2165">
          <cell r="E2165" t="str">
            <v>Major Vieira</v>
          </cell>
        </row>
        <row r="2166">
          <cell r="E2166" t="str">
            <v>Maracajá</v>
          </cell>
        </row>
        <row r="2167">
          <cell r="E2167" t="str">
            <v>Maravilha</v>
          </cell>
        </row>
        <row r="2168">
          <cell r="E2168" t="str">
            <v>Marema</v>
          </cell>
        </row>
        <row r="2169">
          <cell r="E2169" t="str">
            <v>Massaranduba</v>
          </cell>
        </row>
        <row r="2170">
          <cell r="E2170" t="str">
            <v>Matos Costa</v>
          </cell>
        </row>
        <row r="2171">
          <cell r="E2171" t="str">
            <v>Meleiro</v>
          </cell>
        </row>
        <row r="2172">
          <cell r="E2172" t="str">
            <v>Mirim Doce</v>
          </cell>
        </row>
        <row r="2173">
          <cell r="E2173" t="str">
            <v>Modelo</v>
          </cell>
        </row>
        <row r="2174">
          <cell r="E2174" t="str">
            <v>Mondaí</v>
          </cell>
        </row>
        <row r="2175">
          <cell r="E2175" t="str">
            <v>Monte Carlo</v>
          </cell>
        </row>
        <row r="2176">
          <cell r="E2176" t="str">
            <v>Monte Castelo</v>
          </cell>
        </row>
        <row r="2177">
          <cell r="E2177" t="str">
            <v>Morro da Fumaça</v>
          </cell>
        </row>
        <row r="2178">
          <cell r="E2178" t="str">
            <v>Morro Grande</v>
          </cell>
        </row>
        <row r="2179">
          <cell r="E2179" t="str">
            <v>Navegantes</v>
          </cell>
        </row>
        <row r="2180">
          <cell r="E2180" t="str">
            <v>Nova Erechim</v>
          </cell>
        </row>
        <row r="2181">
          <cell r="E2181" t="str">
            <v>Nova Itaberaba</v>
          </cell>
        </row>
        <row r="2182">
          <cell r="E2182" t="str">
            <v>Nova Trento</v>
          </cell>
        </row>
        <row r="2183">
          <cell r="E2183" t="str">
            <v>Nova Veneza</v>
          </cell>
        </row>
        <row r="2184">
          <cell r="E2184" t="str">
            <v>Novo Horizonte</v>
          </cell>
        </row>
        <row r="2185">
          <cell r="E2185" t="str">
            <v>Orleans</v>
          </cell>
        </row>
        <row r="2186">
          <cell r="E2186" t="str">
            <v>Otacílio Costa</v>
          </cell>
        </row>
        <row r="2187">
          <cell r="E2187" t="str">
            <v>Ouro</v>
          </cell>
        </row>
        <row r="2188">
          <cell r="E2188" t="str">
            <v>Ouro Verde</v>
          </cell>
        </row>
        <row r="2189">
          <cell r="E2189" t="str">
            <v>Paial</v>
          </cell>
        </row>
        <row r="2190">
          <cell r="E2190" t="str">
            <v>Painel</v>
          </cell>
        </row>
        <row r="2191">
          <cell r="E2191" t="str">
            <v>Palhoça</v>
          </cell>
        </row>
        <row r="2192">
          <cell r="E2192" t="str">
            <v>Palma Sola</v>
          </cell>
        </row>
        <row r="2193">
          <cell r="E2193" t="str">
            <v>Palmeira</v>
          </cell>
        </row>
        <row r="2194">
          <cell r="E2194" t="str">
            <v>Palmitos</v>
          </cell>
        </row>
        <row r="2195">
          <cell r="E2195" t="str">
            <v>Papanduva</v>
          </cell>
        </row>
        <row r="2196">
          <cell r="E2196" t="str">
            <v>Paraíso</v>
          </cell>
        </row>
        <row r="2197">
          <cell r="E2197" t="str">
            <v>Passo de Torres</v>
          </cell>
        </row>
        <row r="2198">
          <cell r="E2198" t="str">
            <v>Passos Maia</v>
          </cell>
        </row>
        <row r="2199">
          <cell r="E2199" t="str">
            <v>Paulo Lopes</v>
          </cell>
        </row>
        <row r="2200">
          <cell r="E2200" t="str">
            <v>Pedras Grandes</v>
          </cell>
        </row>
        <row r="2201">
          <cell r="E2201" t="str">
            <v>Penha</v>
          </cell>
        </row>
        <row r="2202">
          <cell r="E2202" t="str">
            <v>Peritiba</v>
          </cell>
        </row>
        <row r="2203">
          <cell r="E2203" t="str">
            <v>Petrolândia</v>
          </cell>
        </row>
        <row r="2204">
          <cell r="E2204" t="str">
            <v>Piçarras</v>
          </cell>
        </row>
        <row r="2205">
          <cell r="E2205" t="str">
            <v>Pinhalzinho</v>
          </cell>
        </row>
        <row r="2206">
          <cell r="E2206" t="str">
            <v>Pinheiro Preto</v>
          </cell>
        </row>
        <row r="2207">
          <cell r="E2207" t="str">
            <v>Piratuba</v>
          </cell>
        </row>
        <row r="2208">
          <cell r="E2208" t="str">
            <v>Planalto Alegre</v>
          </cell>
        </row>
        <row r="2209">
          <cell r="E2209" t="str">
            <v>Pomerode</v>
          </cell>
        </row>
        <row r="2210">
          <cell r="E2210" t="str">
            <v>Ponte Alta</v>
          </cell>
        </row>
        <row r="2211">
          <cell r="E2211" t="str">
            <v>Ponte Alta do Norte</v>
          </cell>
        </row>
        <row r="2212">
          <cell r="E2212" t="str">
            <v>Ponte Serrada</v>
          </cell>
        </row>
        <row r="2213">
          <cell r="E2213" t="str">
            <v>Porto Belo</v>
          </cell>
        </row>
        <row r="2214">
          <cell r="E2214" t="str">
            <v>Porto União</v>
          </cell>
        </row>
        <row r="2215">
          <cell r="E2215" t="str">
            <v>Pouso Redondo</v>
          </cell>
        </row>
        <row r="2216">
          <cell r="E2216" t="str">
            <v>Praia Grande</v>
          </cell>
        </row>
        <row r="2217">
          <cell r="E2217" t="str">
            <v>Presidente Castelo Branco</v>
          </cell>
        </row>
        <row r="2218">
          <cell r="E2218" t="str">
            <v>Presidente Getúlio</v>
          </cell>
        </row>
        <row r="2219">
          <cell r="E2219" t="str">
            <v>Presidente Nereu</v>
          </cell>
        </row>
        <row r="2220">
          <cell r="E2220" t="str">
            <v>Princesa</v>
          </cell>
        </row>
        <row r="2221">
          <cell r="E2221" t="str">
            <v>Quilombo</v>
          </cell>
        </row>
        <row r="2222">
          <cell r="E2222" t="str">
            <v>Rancho Queimado</v>
          </cell>
        </row>
        <row r="2223">
          <cell r="E2223" t="str">
            <v>Rio das Antas</v>
          </cell>
        </row>
        <row r="2224">
          <cell r="E2224" t="str">
            <v>Rio do Campo</v>
          </cell>
        </row>
        <row r="2225">
          <cell r="E2225" t="str">
            <v>Rio do Oeste</v>
          </cell>
        </row>
        <row r="2226">
          <cell r="E2226" t="str">
            <v>Rio do Sul</v>
          </cell>
        </row>
        <row r="2227">
          <cell r="E2227" t="str">
            <v>Rio dos Cedros</v>
          </cell>
        </row>
        <row r="2228">
          <cell r="E2228" t="str">
            <v>Rio Fortuna</v>
          </cell>
        </row>
        <row r="2229">
          <cell r="E2229" t="str">
            <v>Rio Negrinho</v>
          </cell>
        </row>
        <row r="2230">
          <cell r="E2230" t="str">
            <v>Rio Rufino</v>
          </cell>
        </row>
        <row r="2231">
          <cell r="E2231" t="str">
            <v>Riqueza</v>
          </cell>
        </row>
        <row r="2232">
          <cell r="E2232" t="str">
            <v>Rodeio</v>
          </cell>
        </row>
        <row r="2233">
          <cell r="E2233" t="str">
            <v>Romelândia</v>
          </cell>
        </row>
        <row r="2234">
          <cell r="E2234" t="str">
            <v>Salete</v>
          </cell>
        </row>
        <row r="2235">
          <cell r="E2235" t="str">
            <v>Saltinho</v>
          </cell>
        </row>
        <row r="2236">
          <cell r="E2236" t="str">
            <v>Salto Veloso</v>
          </cell>
        </row>
        <row r="2237">
          <cell r="E2237" t="str">
            <v>Sangão</v>
          </cell>
        </row>
        <row r="2238">
          <cell r="E2238" t="str">
            <v>Santa Cecília</v>
          </cell>
        </row>
        <row r="2239">
          <cell r="E2239" t="str">
            <v>Santa Helena</v>
          </cell>
        </row>
        <row r="2240">
          <cell r="E2240" t="str">
            <v>Santa Rosa de Lima</v>
          </cell>
        </row>
        <row r="2241">
          <cell r="E2241" t="str">
            <v>Santa Rosa do Sul</v>
          </cell>
        </row>
        <row r="2242">
          <cell r="E2242" t="str">
            <v>Santa Terezinha</v>
          </cell>
        </row>
        <row r="2243">
          <cell r="E2243" t="str">
            <v>Santa Terezinha do Progresso</v>
          </cell>
        </row>
        <row r="2244">
          <cell r="E2244" t="str">
            <v>Santiago do Sul</v>
          </cell>
        </row>
        <row r="2245">
          <cell r="E2245" t="str">
            <v>Santo Amaro da Imperatriz</v>
          </cell>
        </row>
        <row r="2246">
          <cell r="E2246" t="str">
            <v>São Bento do Sul</v>
          </cell>
        </row>
        <row r="2247">
          <cell r="E2247" t="str">
            <v>São Bernardino</v>
          </cell>
        </row>
        <row r="2248">
          <cell r="E2248" t="str">
            <v>São Bonifácio</v>
          </cell>
        </row>
        <row r="2249">
          <cell r="E2249" t="str">
            <v>São Carlos</v>
          </cell>
        </row>
        <row r="2250">
          <cell r="E2250" t="str">
            <v>São Cristovão do Sul</v>
          </cell>
        </row>
        <row r="2251">
          <cell r="E2251" t="str">
            <v>São Domingos</v>
          </cell>
        </row>
        <row r="2252">
          <cell r="E2252" t="str">
            <v>São Francisco do Sul</v>
          </cell>
        </row>
        <row r="2253">
          <cell r="E2253" t="str">
            <v>São João Batista</v>
          </cell>
        </row>
        <row r="2254">
          <cell r="E2254" t="str">
            <v>São João do Itaperiú</v>
          </cell>
        </row>
        <row r="2255">
          <cell r="E2255" t="str">
            <v>São João do Oeste</v>
          </cell>
        </row>
        <row r="2256">
          <cell r="E2256" t="str">
            <v>São João do Sul</v>
          </cell>
        </row>
        <row r="2257">
          <cell r="E2257" t="str">
            <v>São Joaquim</v>
          </cell>
        </row>
        <row r="2258">
          <cell r="E2258" t="str">
            <v>São José</v>
          </cell>
        </row>
        <row r="2259">
          <cell r="E2259" t="str">
            <v>São José do Cedro</v>
          </cell>
        </row>
        <row r="2260">
          <cell r="E2260" t="str">
            <v>São José do Cerrito</v>
          </cell>
        </row>
        <row r="2261">
          <cell r="E2261" t="str">
            <v>São Lourenço do Oeste</v>
          </cell>
        </row>
        <row r="2262">
          <cell r="E2262" t="str">
            <v>São Ludgero</v>
          </cell>
        </row>
        <row r="2263">
          <cell r="E2263" t="str">
            <v>São Martinho</v>
          </cell>
        </row>
        <row r="2264">
          <cell r="E2264" t="str">
            <v>São Miguel da Boa Vista</v>
          </cell>
        </row>
        <row r="2265">
          <cell r="E2265" t="str">
            <v>São Miguel do Oeste</v>
          </cell>
        </row>
        <row r="2266">
          <cell r="E2266" t="str">
            <v>São Pedro de Alcântara</v>
          </cell>
        </row>
        <row r="2267">
          <cell r="E2267" t="str">
            <v>Saudades</v>
          </cell>
        </row>
        <row r="2268">
          <cell r="E2268" t="str">
            <v>Schroeder</v>
          </cell>
        </row>
        <row r="2269">
          <cell r="E2269" t="str">
            <v>Seara</v>
          </cell>
        </row>
        <row r="2270">
          <cell r="E2270" t="str">
            <v>Serra Alta</v>
          </cell>
        </row>
        <row r="2271">
          <cell r="E2271" t="str">
            <v>Siderópolis</v>
          </cell>
        </row>
        <row r="2272">
          <cell r="E2272" t="str">
            <v>Sombrio</v>
          </cell>
        </row>
        <row r="2273">
          <cell r="E2273" t="str">
            <v>Sul Brasil</v>
          </cell>
        </row>
        <row r="2274">
          <cell r="E2274" t="str">
            <v>Taió</v>
          </cell>
        </row>
        <row r="2275">
          <cell r="E2275" t="str">
            <v>Tangará</v>
          </cell>
        </row>
        <row r="2276">
          <cell r="E2276" t="str">
            <v>Tigrinhos</v>
          </cell>
        </row>
        <row r="2277">
          <cell r="E2277" t="str">
            <v>Tijucas</v>
          </cell>
        </row>
        <row r="2278">
          <cell r="E2278" t="str">
            <v>Timbé do Sul</v>
          </cell>
        </row>
        <row r="2279">
          <cell r="E2279" t="str">
            <v>Timbó</v>
          </cell>
        </row>
        <row r="2280">
          <cell r="E2280" t="str">
            <v>Timbó Grande</v>
          </cell>
        </row>
        <row r="2281">
          <cell r="E2281" t="str">
            <v>Três Barras</v>
          </cell>
        </row>
        <row r="2282">
          <cell r="E2282" t="str">
            <v>Treviso</v>
          </cell>
        </row>
        <row r="2283">
          <cell r="E2283" t="str">
            <v>Treze de Maio</v>
          </cell>
        </row>
        <row r="2284">
          <cell r="E2284" t="str">
            <v>Treze Tílias</v>
          </cell>
        </row>
        <row r="2285">
          <cell r="E2285" t="str">
            <v>Trombudo Central</v>
          </cell>
        </row>
        <row r="2286">
          <cell r="E2286" t="str">
            <v>Tubarão</v>
          </cell>
        </row>
        <row r="2287">
          <cell r="E2287" t="str">
            <v>Tunápolis</v>
          </cell>
        </row>
        <row r="2288">
          <cell r="E2288" t="str">
            <v>Turvo</v>
          </cell>
        </row>
        <row r="2289">
          <cell r="E2289" t="str">
            <v>União do Oeste</v>
          </cell>
        </row>
        <row r="2290">
          <cell r="E2290" t="str">
            <v>Urubici</v>
          </cell>
        </row>
        <row r="2291">
          <cell r="E2291" t="str">
            <v>Urupema</v>
          </cell>
        </row>
        <row r="2292">
          <cell r="E2292" t="str">
            <v>Urussanga</v>
          </cell>
        </row>
        <row r="2293">
          <cell r="E2293" t="str">
            <v>Vargeão</v>
          </cell>
        </row>
        <row r="2294">
          <cell r="E2294" t="str">
            <v>Vargem</v>
          </cell>
        </row>
        <row r="2295">
          <cell r="E2295" t="str">
            <v>Vargem Bonita</v>
          </cell>
        </row>
        <row r="2296">
          <cell r="E2296" t="str">
            <v>Vidal Ramos</v>
          </cell>
        </row>
        <row r="2297">
          <cell r="E2297" t="str">
            <v>Videira</v>
          </cell>
        </row>
        <row r="2298">
          <cell r="E2298" t="str">
            <v>Vitor Meireles</v>
          </cell>
        </row>
        <row r="2299">
          <cell r="E2299" t="str">
            <v>Witmarsum</v>
          </cell>
        </row>
        <row r="2300">
          <cell r="E2300" t="str">
            <v>Xanxerê</v>
          </cell>
        </row>
        <row r="2301">
          <cell r="E2301" t="str">
            <v>Xavantina</v>
          </cell>
        </row>
        <row r="2302">
          <cell r="E2302" t="str">
            <v>Xaxim</v>
          </cell>
        </row>
        <row r="2303">
          <cell r="E2303" t="str">
            <v>Zortéa</v>
          </cell>
        </row>
        <row r="2308">
          <cell r="E2308" t="str">
            <v>Amparo de São Francisco</v>
          </cell>
        </row>
        <row r="2309">
          <cell r="E2309" t="str">
            <v>Aquidabã</v>
          </cell>
        </row>
        <row r="2310">
          <cell r="E2310" t="str">
            <v>Aracaju</v>
          </cell>
        </row>
        <row r="2311">
          <cell r="E2311" t="str">
            <v>Arauá</v>
          </cell>
        </row>
        <row r="2312">
          <cell r="E2312" t="str">
            <v>Areia Branca</v>
          </cell>
        </row>
        <row r="2313">
          <cell r="E2313" t="str">
            <v>Barra dos Coqueiros</v>
          </cell>
        </row>
        <row r="2314">
          <cell r="E2314" t="str">
            <v>Boquim</v>
          </cell>
        </row>
        <row r="2315">
          <cell r="E2315" t="str">
            <v>Brejo Grande</v>
          </cell>
        </row>
        <row r="2316">
          <cell r="E2316" t="str">
            <v>Campo do Brito</v>
          </cell>
        </row>
        <row r="2317">
          <cell r="E2317" t="str">
            <v>Canhoba</v>
          </cell>
        </row>
        <row r="2318">
          <cell r="E2318" t="str">
            <v>Canindé de São Francisco</v>
          </cell>
        </row>
        <row r="2319">
          <cell r="E2319" t="str">
            <v>Capela</v>
          </cell>
        </row>
        <row r="2320">
          <cell r="E2320" t="str">
            <v>Carira</v>
          </cell>
        </row>
        <row r="2321">
          <cell r="E2321" t="str">
            <v>Carmópolis</v>
          </cell>
        </row>
        <row r="2322">
          <cell r="E2322" t="str">
            <v>Cedro de São João</v>
          </cell>
        </row>
        <row r="2323">
          <cell r="E2323" t="str">
            <v>Cristinápolis</v>
          </cell>
        </row>
        <row r="2324">
          <cell r="E2324" t="str">
            <v>Cumbe</v>
          </cell>
        </row>
        <row r="2325">
          <cell r="E2325" t="str">
            <v>Divina Pastora</v>
          </cell>
        </row>
        <row r="2326">
          <cell r="E2326" t="str">
            <v>Estância</v>
          </cell>
        </row>
        <row r="2327">
          <cell r="E2327" t="str">
            <v>Feira Nova</v>
          </cell>
        </row>
        <row r="2328">
          <cell r="E2328" t="str">
            <v>Frei Paulo</v>
          </cell>
        </row>
        <row r="2329">
          <cell r="E2329" t="str">
            <v>Gararu</v>
          </cell>
        </row>
        <row r="2330">
          <cell r="E2330" t="str">
            <v>General Maynard</v>
          </cell>
        </row>
        <row r="2331">
          <cell r="E2331" t="str">
            <v>Gracho Cardoso</v>
          </cell>
        </row>
        <row r="2332">
          <cell r="E2332" t="str">
            <v>Ilha das Flores</v>
          </cell>
        </row>
        <row r="2333">
          <cell r="E2333" t="str">
            <v>Indiaroba</v>
          </cell>
        </row>
        <row r="2334">
          <cell r="E2334" t="str">
            <v>Itabaiana</v>
          </cell>
        </row>
        <row r="2335">
          <cell r="E2335" t="str">
            <v>Itabaianinha</v>
          </cell>
        </row>
        <row r="2336">
          <cell r="E2336" t="str">
            <v>Itabi</v>
          </cell>
        </row>
        <row r="2337">
          <cell r="E2337" t="str">
            <v>Itaporanga d'Ajuda</v>
          </cell>
        </row>
        <row r="2338">
          <cell r="E2338" t="str">
            <v>Japaratuba</v>
          </cell>
        </row>
        <row r="2339">
          <cell r="E2339" t="str">
            <v>Japoatã</v>
          </cell>
        </row>
        <row r="2340">
          <cell r="E2340" t="str">
            <v>Lagarto</v>
          </cell>
        </row>
        <row r="2341">
          <cell r="E2341" t="str">
            <v>Laranjeiras</v>
          </cell>
        </row>
        <row r="2342">
          <cell r="E2342" t="str">
            <v>Macambira</v>
          </cell>
        </row>
        <row r="2343">
          <cell r="E2343" t="str">
            <v>Malhada dos Bois</v>
          </cell>
        </row>
        <row r="2344">
          <cell r="E2344" t="str">
            <v>Malhador</v>
          </cell>
        </row>
        <row r="2345">
          <cell r="E2345" t="str">
            <v>Maruim</v>
          </cell>
        </row>
        <row r="2346">
          <cell r="E2346" t="str">
            <v>Moita Bonita</v>
          </cell>
        </row>
        <row r="2347">
          <cell r="E2347" t="str">
            <v>Monte Alegre de Sergipe</v>
          </cell>
        </row>
        <row r="2348">
          <cell r="E2348" t="str">
            <v>Muribeca</v>
          </cell>
        </row>
        <row r="2349">
          <cell r="E2349" t="str">
            <v>Neópolis</v>
          </cell>
        </row>
        <row r="2350">
          <cell r="E2350" t="str">
            <v>Nossa Senhora Aparecida</v>
          </cell>
        </row>
        <row r="2351">
          <cell r="E2351" t="str">
            <v>Nossa Senhora da Glória</v>
          </cell>
        </row>
        <row r="2352">
          <cell r="E2352" t="str">
            <v>Nossa Senhora das Dores</v>
          </cell>
        </row>
        <row r="2353">
          <cell r="E2353" t="str">
            <v>Nossa Senhora de Lourdes</v>
          </cell>
        </row>
        <row r="2354">
          <cell r="E2354" t="str">
            <v>Nossa Senhora do Socorro</v>
          </cell>
        </row>
        <row r="2355">
          <cell r="E2355" t="str">
            <v>Pacatuba</v>
          </cell>
        </row>
        <row r="2356">
          <cell r="E2356" t="str">
            <v>Pedra Mole</v>
          </cell>
        </row>
        <row r="2357">
          <cell r="E2357" t="str">
            <v>Pedrinhas</v>
          </cell>
        </row>
        <row r="2358">
          <cell r="E2358" t="str">
            <v>Pinhão</v>
          </cell>
        </row>
        <row r="2359">
          <cell r="E2359" t="str">
            <v>Pirambu</v>
          </cell>
        </row>
        <row r="2360">
          <cell r="E2360" t="str">
            <v>Poço Redondo</v>
          </cell>
        </row>
        <row r="2361">
          <cell r="E2361" t="str">
            <v>Poço Verde</v>
          </cell>
        </row>
        <row r="2362">
          <cell r="E2362" t="str">
            <v>Porto da Folha</v>
          </cell>
        </row>
        <row r="2363">
          <cell r="E2363" t="str">
            <v>Propriá</v>
          </cell>
        </row>
        <row r="2364">
          <cell r="E2364" t="str">
            <v>Riachão do Dantas</v>
          </cell>
        </row>
        <row r="2365">
          <cell r="E2365" t="str">
            <v>Riachuelo</v>
          </cell>
        </row>
        <row r="2366">
          <cell r="E2366" t="str">
            <v>Ribeirópolis</v>
          </cell>
        </row>
        <row r="2367">
          <cell r="E2367" t="str">
            <v>Rosário do Catete</v>
          </cell>
        </row>
        <row r="2368">
          <cell r="E2368" t="str">
            <v>Salgado</v>
          </cell>
        </row>
        <row r="2369">
          <cell r="E2369" t="str">
            <v>Santa Luzia do Itanhy</v>
          </cell>
        </row>
        <row r="2370">
          <cell r="E2370" t="str">
            <v>Santa Rosa de Lima</v>
          </cell>
        </row>
        <row r="2371">
          <cell r="E2371" t="str">
            <v>Santana do São Francisco</v>
          </cell>
        </row>
        <row r="2372">
          <cell r="E2372" t="str">
            <v>Santo Amaro das Brotas</v>
          </cell>
        </row>
        <row r="2373">
          <cell r="E2373" t="str">
            <v>São Cristóvão</v>
          </cell>
        </row>
        <row r="2374">
          <cell r="E2374" t="str">
            <v>São Domingos</v>
          </cell>
        </row>
        <row r="2375">
          <cell r="E2375" t="str">
            <v>São Francisco</v>
          </cell>
        </row>
        <row r="2376">
          <cell r="E2376" t="str">
            <v>São Miguel do Aleixo</v>
          </cell>
        </row>
        <row r="2377">
          <cell r="E2377" t="str">
            <v>Simão Dias</v>
          </cell>
        </row>
        <row r="2378">
          <cell r="E2378" t="str">
            <v>Siriri</v>
          </cell>
        </row>
        <row r="2379">
          <cell r="E2379" t="str">
            <v>Telha</v>
          </cell>
        </row>
        <row r="2380">
          <cell r="E2380" t="str">
            <v>Tobias Barreto</v>
          </cell>
        </row>
        <row r="2381">
          <cell r="E2381" t="str">
            <v>Tomar do Geru</v>
          </cell>
        </row>
        <row r="2382">
          <cell r="E2382" t="str">
            <v>Umbaúba</v>
          </cell>
        </row>
        <row r="2387">
          <cell r="E2387" t="str">
            <v>Alumínio</v>
          </cell>
        </row>
        <row r="2388">
          <cell r="E2388" t="str">
            <v>Araçariguama</v>
          </cell>
        </row>
        <row r="2389">
          <cell r="E2389" t="str">
            <v>Arujá</v>
          </cell>
        </row>
        <row r="2390">
          <cell r="E2390" t="str">
            <v>Atibaia</v>
          </cell>
        </row>
        <row r="2391">
          <cell r="E2391" t="str">
            <v>Barueri</v>
          </cell>
        </row>
        <row r="2392">
          <cell r="E2392" t="str">
            <v>Biritiba-Mirim</v>
          </cell>
        </row>
        <row r="2393">
          <cell r="E2393" t="str">
            <v>Bom Jesus dos Perdões</v>
          </cell>
        </row>
        <row r="2394">
          <cell r="E2394" t="str">
            <v>Bragança Paulista</v>
          </cell>
        </row>
        <row r="2395">
          <cell r="E2395" t="str">
            <v>Cabreúva</v>
          </cell>
        </row>
        <row r="2396">
          <cell r="E2396" t="str">
            <v>Caieiras</v>
          </cell>
        </row>
        <row r="2397">
          <cell r="E2397" t="str">
            <v>Cajamar</v>
          </cell>
        </row>
        <row r="2398">
          <cell r="E2398" t="str">
            <v>Campo Limpo Paulista</v>
          </cell>
        </row>
        <row r="2399">
          <cell r="E2399" t="str">
            <v>Carapicuíba</v>
          </cell>
        </row>
        <row r="2400">
          <cell r="E2400" t="str">
            <v>Cotia</v>
          </cell>
        </row>
        <row r="2401">
          <cell r="E2401" t="str">
            <v>Diadema</v>
          </cell>
        </row>
        <row r="2402">
          <cell r="E2402" t="str">
            <v>Embu</v>
          </cell>
        </row>
        <row r="2403">
          <cell r="E2403" t="str">
            <v>Embu-Guaçu</v>
          </cell>
        </row>
        <row r="2404">
          <cell r="E2404" t="str">
            <v>Ferraz de Vasconcelos</v>
          </cell>
        </row>
        <row r="2405">
          <cell r="E2405" t="str">
            <v>Francisco Morato</v>
          </cell>
        </row>
        <row r="2406">
          <cell r="E2406" t="str">
            <v>Franco da Rocha</v>
          </cell>
        </row>
        <row r="2407">
          <cell r="E2407" t="str">
            <v>Guararema</v>
          </cell>
        </row>
        <row r="2408">
          <cell r="E2408" t="str">
            <v>Guarulhos</v>
          </cell>
        </row>
        <row r="2409">
          <cell r="E2409" t="str">
            <v>Igaratá</v>
          </cell>
        </row>
        <row r="2410">
          <cell r="E2410" t="str">
            <v>Itapecerica da Serra</v>
          </cell>
        </row>
        <row r="2411">
          <cell r="E2411" t="str">
            <v>Itapevi</v>
          </cell>
        </row>
        <row r="2412">
          <cell r="E2412" t="str">
            <v>Itaquaquecetuba</v>
          </cell>
        </row>
        <row r="2413">
          <cell r="E2413" t="str">
            <v>Itatiba</v>
          </cell>
        </row>
        <row r="2414">
          <cell r="E2414" t="str">
            <v>Itu</v>
          </cell>
        </row>
        <row r="2415">
          <cell r="E2415" t="str">
            <v>Itupeva</v>
          </cell>
        </row>
        <row r="2416">
          <cell r="E2416" t="str">
            <v>Jandira</v>
          </cell>
        </row>
        <row r="2417">
          <cell r="E2417" t="str">
            <v>Jarinu</v>
          </cell>
        </row>
        <row r="2418">
          <cell r="E2418" t="str">
            <v>Joanópolis</v>
          </cell>
        </row>
        <row r="2419">
          <cell r="E2419" t="str">
            <v>Jundiaí</v>
          </cell>
        </row>
        <row r="2420">
          <cell r="E2420" t="str">
            <v>Juquitiba</v>
          </cell>
        </row>
        <row r="2421">
          <cell r="E2421" t="str">
            <v>Mairinque</v>
          </cell>
        </row>
        <row r="2422">
          <cell r="E2422" t="str">
            <v>Mairiporã</v>
          </cell>
        </row>
        <row r="2423">
          <cell r="E2423" t="str">
            <v>Mauá</v>
          </cell>
        </row>
        <row r="2424">
          <cell r="E2424" t="str">
            <v>Moji das Cruzes</v>
          </cell>
        </row>
        <row r="2425">
          <cell r="E2425" t="str">
            <v>Morungaba</v>
          </cell>
        </row>
        <row r="2426">
          <cell r="E2426" t="str">
            <v>Nazaré Paulista</v>
          </cell>
        </row>
        <row r="2427">
          <cell r="E2427" t="str">
            <v>Osasco</v>
          </cell>
        </row>
        <row r="2428">
          <cell r="E2428" t="str">
            <v>Pedra Bela</v>
          </cell>
        </row>
        <row r="2429">
          <cell r="E2429" t="str">
            <v>Pinhalzinho</v>
          </cell>
        </row>
        <row r="2430">
          <cell r="E2430" t="str">
            <v>Piracaia</v>
          </cell>
        </row>
        <row r="2431">
          <cell r="E2431" t="str">
            <v>Pirapora do Bom Jesus</v>
          </cell>
        </row>
        <row r="2432">
          <cell r="E2432" t="str">
            <v>Poá</v>
          </cell>
        </row>
        <row r="2433">
          <cell r="E2433" t="str">
            <v>Ribeirão Pires</v>
          </cell>
        </row>
        <row r="2434">
          <cell r="E2434" t="str">
            <v>Rio Grande da Serra</v>
          </cell>
        </row>
        <row r="2435">
          <cell r="E2435" t="str">
            <v>Salesópolis</v>
          </cell>
        </row>
        <row r="2436">
          <cell r="E2436" t="str">
            <v>Salto</v>
          </cell>
        </row>
        <row r="2437">
          <cell r="E2437" t="str">
            <v>Santa Isabel</v>
          </cell>
        </row>
        <row r="2438">
          <cell r="E2438" t="str">
            <v>Santana de Parnaíba</v>
          </cell>
        </row>
        <row r="2439">
          <cell r="E2439" t="str">
            <v>Santo André</v>
          </cell>
        </row>
        <row r="2440">
          <cell r="E2440" t="str">
            <v>São Bernardo do Campo</v>
          </cell>
        </row>
        <row r="2441">
          <cell r="E2441" t="str">
            <v>São Caetano do Sul</v>
          </cell>
        </row>
        <row r="2442">
          <cell r="E2442" t="str">
            <v>São Lourenço da Serra</v>
          </cell>
        </row>
        <row r="2443">
          <cell r="E2443" t="str">
            <v>São Paulo</v>
          </cell>
        </row>
        <row r="2444">
          <cell r="E2444" t="str">
            <v>São Roque</v>
          </cell>
        </row>
        <row r="2445">
          <cell r="E2445" t="str">
            <v>Suzano</v>
          </cell>
        </row>
        <row r="2446">
          <cell r="E2446" t="str">
            <v>Taboão da Serra</v>
          </cell>
        </row>
        <row r="2447">
          <cell r="E2447" t="str">
            <v>Tuiuti</v>
          </cell>
        </row>
        <row r="2448">
          <cell r="E2448" t="str">
            <v>Vargem</v>
          </cell>
        </row>
        <row r="2449">
          <cell r="E2449" t="str">
            <v>Vargem Grande Paulista</v>
          </cell>
        </row>
        <row r="2450">
          <cell r="E2450" t="str">
            <v>Várzea Paulista</v>
          </cell>
        </row>
        <row r="2454">
          <cell r="E2454" t="str">
            <v>Adamantina</v>
          </cell>
        </row>
        <row r="2455">
          <cell r="E2455" t="str">
            <v>Adolfo</v>
          </cell>
        </row>
        <row r="2456">
          <cell r="E2456" t="str">
            <v>Aguaí</v>
          </cell>
        </row>
        <row r="2457">
          <cell r="E2457" t="str">
            <v>Águas da Prata</v>
          </cell>
        </row>
        <row r="2458">
          <cell r="E2458" t="str">
            <v>Águas de Lindóia</v>
          </cell>
        </row>
        <row r="2459">
          <cell r="E2459" t="str">
            <v>Águas de Santa Bárbara</v>
          </cell>
        </row>
        <row r="2460">
          <cell r="E2460" t="str">
            <v>Águas de São Pedro</v>
          </cell>
        </row>
        <row r="2461">
          <cell r="E2461" t="str">
            <v>Agudos</v>
          </cell>
        </row>
        <row r="2462">
          <cell r="E2462" t="str">
            <v>Alambari</v>
          </cell>
        </row>
        <row r="2463">
          <cell r="E2463" t="str">
            <v>Alfredo Marcondes</v>
          </cell>
        </row>
        <row r="2464">
          <cell r="E2464" t="str">
            <v>Altair</v>
          </cell>
        </row>
        <row r="2465">
          <cell r="E2465" t="str">
            <v>Altinópolis</v>
          </cell>
        </row>
        <row r="2466">
          <cell r="E2466" t="str">
            <v>Alto Alegre</v>
          </cell>
        </row>
        <row r="2467">
          <cell r="E2467" t="str">
            <v>Álvares Florence</v>
          </cell>
        </row>
        <row r="2468">
          <cell r="E2468" t="str">
            <v>Álvares Machado</v>
          </cell>
        </row>
        <row r="2469">
          <cell r="E2469" t="str">
            <v>Álvaro de Carvalho</v>
          </cell>
        </row>
        <row r="2470">
          <cell r="E2470" t="str">
            <v>Alvinlândia</v>
          </cell>
        </row>
        <row r="2471">
          <cell r="E2471" t="str">
            <v>Americana</v>
          </cell>
        </row>
        <row r="2472">
          <cell r="E2472" t="str">
            <v>Américo Brasiliense</v>
          </cell>
        </row>
        <row r="2473">
          <cell r="E2473" t="str">
            <v>Américo de Campos</v>
          </cell>
        </row>
        <row r="2474">
          <cell r="E2474" t="str">
            <v>Amparo</v>
          </cell>
        </row>
        <row r="2475">
          <cell r="E2475" t="str">
            <v>Analândia</v>
          </cell>
        </row>
        <row r="2476">
          <cell r="E2476" t="str">
            <v>Andradina</v>
          </cell>
        </row>
        <row r="2477">
          <cell r="E2477" t="str">
            <v>Angatuba</v>
          </cell>
        </row>
        <row r="2478">
          <cell r="E2478" t="str">
            <v>Anhembi</v>
          </cell>
        </row>
        <row r="2479">
          <cell r="E2479" t="str">
            <v>Anhumas</v>
          </cell>
        </row>
        <row r="2480">
          <cell r="E2480" t="str">
            <v>Aparecida</v>
          </cell>
        </row>
        <row r="2481">
          <cell r="E2481" t="str">
            <v>Aparecida d'Oeste</v>
          </cell>
        </row>
        <row r="2482">
          <cell r="E2482" t="str">
            <v>Apiaí</v>
          </cell>
        </row>
        <row r="2483">
          <cell r="E2483" t="str">
            <v>Araçatuba</v>
          </cell>
        </row>
        <row r="2484">
          <cell r="E2484" t="str">
            <v>Araçoiaba da Serra</v>
          </cell>
        </row>
        <row r="2485">
          <cell r="E2485" t="str">
            <v>Aramina</v>
          </cell>
        </row>
        <row r="2486">
          <cell r="E2486" t="str">
            <v>Arandu</v>
          </cell>
        </row>
        <row r="2487">
          <cell r="E2487" t="str">
            <v>Arapeí</v>
          </cell>
        </row>
        <row r="2488">
          <cell r="E2488" t="str">
            <v>Araraquara</v>
          </cell>
        </row>
        <row r="2489">
          <cell r="E2489" t="str">
            <v>Araras</v>
          </cell>
        </row>
        <row r="2490">
          <cell r="E2490" t="str">
            <v>Arco-Íris</v>
          </cell>
        </row>
        <row r="2491">
          <cell r="E2491" t="str">
            <v>Arealva</v>
          </cell>
        </row>
        <row r="2492">
          <cell r="E2492" t="str">
            <v>Areias</v>
          </cell>
        </row>
        <row r="2493">
          <cell r="E2493" t="str">
            <v>Areiópolis</v>
          </cell>
        </row>
        <row r="2494">
          <cell r="E2494" t="str">
            <v>Ariranha</v>
          </cell>
        </row>
        <row r="2495">
          <cell r="E2495" t="str">
            <v>Artur Nogueira</v>
          </cell>
        </row>
        <row r="2496">
          <cell r="E2496" t="str">
            <v>Aspásia</v>
          </cell>
        </row>
        <row r="2497">
          <cell r="E2497" t="str">
            <v>Assis</v>
          </cell>
        </row>
        <row r="2498">
          <cell r="E2498" t="str">
            <v>Auriflama</v>
          </cell>
        </row>
        <row r="2499">
          <cell r="E2499" t="str">
            <v>Avaí</v>
          </cell>
        </row>
        <row r="2500">
          <cell r="E2500" t="str">
            <v>Avanhandava</v>
          </cell>
        </row>
        <row r="2501">
          <cell r="E2501" t="str">
            <v>Avaré</v>
          </cell>
        </row>
        <row r="2502">
          <cell r="E2502" t="str">
            <v>Bady Bassitt</v>
          </cell>
        </row>
        <row r="2503">
          <cell r="E2503" t="str">
            <v>Balbinos</v>
          </cell>
        </row>
        <row r="2504">
          <cell r="E2504" t="str">
            <v>Bálsamo</v>
          </cell>
        </row>
        <row r="2505">
          <cell r="E2505" t="str">
            <v>Bananal</v>
          </cell>
        </row>
        <row r="2506">
          <cell r="E2506" t="str">
            <v>Barão de Antonina</v>
          </cell>
        </row>
        <row r="2507">
          <cell r="E2507" t="str">
            <v>Barbosa</v>
          </cell>
        </row>
        <row r="2508">
          <cell r="E2508" t="str">
            <v>Bariri</v>
          </cell>
        </row>
        <row r="2509">
          <cell r="E2509" t="str">
            <v>Barra Bonita</v>
          </cell>
        </row>
        <row r="2510">
          <cell r="E2510" t="str">
            <v>Barra do Chapéu</v>
          </cell>
        </row>
        <row r="2511">
          <cell r="E2511" t="str">
            <v>Barra do Turvo</v>
          </cell>
        </row>
        <row r="2512">
          <cell r="E2512" t="str">
            <v>Barretos</v>
          </cell>
        </row>
        <row r="2513">
          <cell r="E2513" t="str">
            <v>Barrinha</v>
          </cell>
        </row>
        <row r="2514">
          <cell r="E2514" t="str">
            <v>Bastos</v>
          </cell>
        </row>
        <row r="2515">
          <cell r="E2515" t="str">
            <v>Batatais</v>
          </cell>
        </row>
        <row r="2516">
          <cell r="E2516" t="str">
            <v>Bauru</v>
          </cell>
        </row>
        <row r="2517">
          <cell r="E2517" t="str">
            <v>Bebedouro</v>
          </cell>
        </row>
        <row r="2518">
          <cell r="E2518" t="str">
            <v>Bento de Abreu</v>
          </cell>
        </row>
        <row r="2519">
          <cell r="E2519" t="str">
            <v>Bernardino de Campos</v>
          </cell>
        </row>
        <row r="2520">
          <cell r="E2520" t="str">
            <v>Bertioga</v>
          </cell>
        </row>
        <row r="2521">
          <cell r="E2521" t="str">
            <v>Bilac</v>
          </cell>
        </row>
        <row r="2522">
          <cell r="E2522" t="str">
            <v>Birigui</v>
          </cell>
        </row>
        <row r="2523">
          <cell r="E2523" t="str">
            <v>Boa Esperança do Sul</v>
          </cell>
        </row>
        <row r="2524">
          <cell r="E2524" t="str">
            <v>Bocaina</v>
          </cell>
        </row>
        <row r="2525">
          <cell r="E2525" t="str">
            <v>Bofete</v>
          </cell>
        </row>
        <row r="2526">
          <cell r="E2526" t="str">
            <v>Boituva</v>
          </cell>
        </row>
        <row r="2527">
          <cell r="E2527" t="str">
            <v>Bom Sucesso de Itararé</v>
          </cell>
        </row>
        <row r="2528">
          <cell r="E2528" t="str">
            <v>Borá</v>
          </cell>
        </row>
        <row r="2529">
          <cell r="E2529" t="str">
            <v>Boracéia</v>
          </cell>
        </row>
        <row r="2530">
          <cell r="E2530" t="str">
            <v>Borborema</v>
          </cell>
        </row>
        <row r="2531">
          <cell r="E2531" t="str">
            <v>Borebi</v>
          </cell>
        </row>
        <row r="2532">
          <cell r="E2532" t="str">
            <v>Botucatu</v>
          </cell>
        </row>
        <row r="2533">
          <cell r="E2533" t="str">
            <v>Braúna</v>
          </cell>
        </row>
        <row r="2534">
          <cell r="E2534" t="str">
            <v>Brejo Alegre</v>
          </cell>
        </row>
        <row r="2535">
          <cell r="E2535" t="str">
            <v>Brodowski</v>
          </cell>
        </row>
        <row r="2536">
          <cell r="E2536" t="str">
            <v>Brotas</v>
          </cell>
        </row>
        <row r="2537">
          <cell r="E2537" t="str">
            <v>Buri</v>
          </cell>
        </row>
        <row r="2538">
          <cell r="E2538" t="str">
            <v>Buritama</v>
          </cell>
        </row>
        <row r="2539">
          <cell r="E2539" t="str">
            <v>Buritizal</v>
          </cell>
        </row>
        <row r="2540">
          <cell r="E2540" t="str">
            <v>Cabrália Paulista</v>
          </cell>
        </row>
        <row r="2541">
          <cell r="E2541" t="str">
            <v>Caçapava</v>
          </cell>
        </row>
        <row r="2542">
          <cell r="E2542" t="str">
            <v>Cachoeira Paulista</v>
          </cell>
        </row>
        <row r="2543">
          <cell r="E2543" t="str">
            <v>Caconde</v>
          </cell>
        </row>
        <row r="2544">
          <cell r="E2544" t="str">
            <v>Cafelândia</v>
          </cell>
        </row>
        <row r="2545">
          <cell r="E2545" t="str">
            <v>Caiabu</v>
          </cell>
        </row>
        <row r="2546">
          <cell r="E2546" t="str">
            <v>Caiuá</v>
          </cell>
        </row>
        <row r="2547">
          <cell r="E2547" t="str">
            <v>Cajati</v>
          </cell>
        </row>
        <row r="2548">
          <cell r="E2548" t="str">
            <v>Cajobi</v>
          </cell>
        </row>
        <row r="2549">
          <cell r="E2549" t="str">
            <v>Cajuru</v>
          </cell>
        </row>
        <row r="2550">
          <cell r="E2550" t="str">
            <v>Campina do Monte Alegre</v>
          </cell>
        </row>
        <row r="2551">
          <cell r="E2551" t="str">
            <v>Campinas</v>
          </cell>
        </row>
        <row r="2552">
          <cell r="E2552" t="str">
            <v>Campos do Jordão</v>
          </cell>
        </row>
        <row r="2553">
          <cell r="E2553" t="str">
            <v>Campos Novos Paulista</v>
          </cell>
        </row>
        <row r="2554">
          <cell r="E2554" t="str">
            <v>Cananéia</v>
          </cell>
        </row>
        <row r="2555">
          <cell r="E2555" t="str">
            <v>Canas</v>
          </cell>
        </row>
        <row r="2556">
          <cell r="E2556" t="str">
            <v>Cândido Mota</v>
          </cell>
        </row>
        <row r="2557">
          <cell r="E2557" t="str">
            <v>Cândido Rodrigues</v>
          </cell>
        </row>
        <row r="2558">
          <cell r="E2558" t="str">
            <v>Canitar</v>
          </cell>
        </row>
        <row r="2559">
          <cell r="E2559" t="str">
            <v>Capão Bonito</v>
          </cell>
        </row>
        <row r="2560">
          <cell r="E2560" t="str">
            <v>Capela do Alto</v>
          </cell>
        </row>
        <row r="2561">
          <cell r="E2561" t="str">
            <v>Capivari</v>
          </cell>
        </row>
        <row r="2562">
          <cell r="E2562" t="str">
            <v>Caraguatatuba</v>
          </cell>
        </row>
        <row r="2563">
          <cell r="E2563" t="str">
            <v>Cardoso</v>
          </cell>
        </row>
        <row r="2564">
          <cell r="E2564" t="str">
            <v>Casa Branca</v>
          </cell>
        </row>
        <row r="2565">
          <cell r="E2565" t="str">
            <v>Cássia dos Coqueiros</v>
          </cell>
        </row>
        <row r="2566">
          <cell r="E2566" t="str">
            <v>Castilho</v>
          </cell>
        </row>
        <row r="2567">
          <cell r="E2567" t="str">
            <v>Catanduva</v>
          </cell>
        </row>
        <row r="2568">
          <cell r="E2568" t="str">
            <v>Catiguá</v>
          </cell>
        </row>
        <row r="2569">
          <cell r="E2569" t="str">
            <v>Cedral</v>
          </cell>
        </row>
        <row r="2570">
          <cell r="E2570" t="str">
            <v>Cerqueira César</v>
          </cell>
        </row>
        <row r="2571">
          <cell r="E2571" t="str">
            <v>Cerquilho</v>
          </cell>
        </row>
        <row r="2572">
          <cell r="E2572" t="str">
            <v>Cesário Lange</v>
          </cell>
        </row>
        <row r="2573">
          <cell r="E2573" t="str">
            <v>Charqueada</v>
          </cell>
        </row>
        <row r="2574">
          <cell r="E2574" t="str">
            <v>Chavantes</v>
          </cell>
        </row>
        <row r="2575">
          <cell r="E2575" t="str">
            <v>Clementina</v>
          </cell>
        </row>
        <row r="2576">
          <cell r="E2576" t="str">
            <v>Colina</v>
          </cell>
        </row>
        <row r="2577">
          <cell r="E2577" t="str">
            <v>Colômbia</v>
          </cell>
        </row>
        <row r="2578">
          <cell r="E2578" t="str">
            <v>Conchal</v>
          </cell>
        </row>
        <row r="2579">
          <cell r="E2579" t="str">
            <v>Conchas</v>
          </cell>
        </row>
        <row r="2580">
          <cell r="E2580" t="str">
            <v>Cordeirópolis</v>
          </cell>
        </row>
        <row r="2581">
          <cell r="E2581" t="str">
            <v>Coroados</v>
          </cell>
        </row>
        <row r="2582">
          <cell r="E2582" t="str">
            <v>Coronel Macedo</v>
          </cell>
        </row>
        <row r="2583">
          <cell r="E2583" t="str">
            <v>Corumbataí</v>
          </cell>
        </row>
        <row r="2584">
          <cell r="E2584" t="str">
            <v>Cosmópolis</v>
          </cell>
        </row>
        <row r="2585">
          <cell r="E2585" t="str">
            <v>Cosmorama</v>
          </cell>
        </row>
        <row r="2586">
          <cell r="E2586" t="str">
            <v>Cravinhos</v>
          </cell>
        </row>
        <row r="2587">
          <cell r="E2587" t="str">
            <v>Cristais Paulista</v>
          </cell>
        </row>
        <row r="2588">
          <cell r="E2588" t="str">
            <v>Cruzália</v>
          </cell>
        </row>
        <row r="2589">
          <cell r="E2589" t="str">
            <v>Cruzeiro</v>
          </cell>
        </row>
        <row r="2590">
          <cell r="E2590" t="str">
            <v>Cubatão</v>
          </cell>
        </row>
        <row r="2591">
          <cell r="E2591" t="str">
            <v>Cunha</v>
          </cell>
        </row>
        <row r="2592">
          <cell r="E2592" t="str">
            <v>Descalvado</v>
          </cell>
        </row>
        <row r="2593">
          <cell r="E2593" t="str">
            <v>Dirce Reis</v>
          </cell>
        </row>
        <row r="2594">
          <cell r="E2594" t="str">
            <v>Divinolândia</v>
          </cell>
        </row>
        <row r="2595">
          <cell r="E2595" t="str">
            <v>Dobrada</v>
          </cell>
        </row>
        <row r="2596">
          <cell r="E2596" t="str">
            <v>Dois Córregos</v>
          </cell>
        </row>
        <row r="2597">
          <cell r="E2597" t="str">
            <v>Dolcinópolis</v>
          </cell>
        </row>
        <row r="2598">
          <cell r="E2598" t="str">
            <v>Dourado</v>
          </cell>
        </row>
        <row r="2599">
          <cell r="E2599" t="str">
            <v>Dracena</v>
          </cell>
        </row>
        <row r="2600">
          <cell r="E2600" t="str">
            <v>Duartina</v>
          </cell>
        </row>
        <row r="2601">
          <cell r="E2601" t="str">
            <v>Dumont</v>
          </cell>
        </row>
        <row r="2602">
          <cell r="E2602" t="str">
            <v>Echaporã</v>
          </cell>
        </row>
        <row r="2603">
          <cell r="E2603" t="str">
            <v>Eldorado</v>
          </cell>
        </row>
        <row r="2604">
          <cell r="E2604" t="str">
            <v>Elias Fausto</v>
          </cell>
        </row>
        <row r="2605">
          <cell r="E2605" t="str">
            <v>Elisiário</v>
          </cell>
        </row>
        <row r="2606">
          <cell r="E2606" t="str">
            <v>Embaúba</v>
          </cell>
        </row>
        <row r="2607">
          <cell r="E2607" t="str">
            <v>Emilianópolis</v>
          </cell>
        </row>
        <row r="2608">
          <cell r="E2608" t="str">
            <v>Engenheiro Coelho</v>
          </cell>
        </row>
        <row r="2609">
          <cell r="E2609" t="str">
            <v>Espírito Santo do Pinhal</v>
          </cell>
        </row>
        <row r="2610">
          <cell r="E2610" t="str">
            <v>Espírito Santo do Turvo</v>
          </cell>
        </row>
        <row r="2611">
          <cell r="E2611" t="str">
            <v>Estiva Gerbi</v>
          </cell>
        </row>
        <row r="2612">
          <cell r="E2612" t="str">
            <v>Estrela do Norte</v>
          </cell>
        </row>
        <row r="2613">
          <cell r="E2613" t="str">
            <v>Estrela d'Oeste</v>
          </cell>
        </row>
        <row r="2614">
          <cell r="E2614" t="str">
            <v>Euclides da Cunha Paulista</v>
          </cell>
        </row>
        <row r="2615">
          <cell r="E2615" t="str">
            <v>Fartura</v>
          </cell>
        </row>
        <row r="2616">
          <cell r="E2616" t="str">
            <v>Fernando Prestes</v>
          </cell>
        </row>
        <row r="2617">
          <cell r="E2617" t="str">
            <v>Fernandópolis</v>
          </cell>
        </row>
        <row r="2618">
          <cell r="E2618" t="str">
            <v>Fernão</v>
          </cell>
        </row>
        <row r="2619">
          <cell r="E2619" t="str">
            <v>Flora Rica</v>
          </cell>
        </row>
        <row r="2620">
          <cell r="E2620" t="str">
            <v>Floreal</v>
          </cell>
        </row>
        <row r="2621">
          <cell r="E2621" t="str">
            <v>Flórida Paulista</v>
          </cell>
        </row>
        <row r="2622">
          <cell r="E2622" t="str">
            <v>Florínia</v>
          </cell>
        </row>
        <row r="2623">
          <cell r="E2623" t="str">
            <v>Franca</v>
          </cell>
        </row>
        <row r="2624">
          <cell r="E2624" t="str">
            <v>Gabriel Monteiro</v>
          </cell>
        </row>
        <row r="2625">
          <cell r="E2625" t="str">
            <v>Gália</v>
          </cell>
        </row>
        <row r="2626">
          <cell r="E2626" t="str">
            <v>Garça</v>
          </cell>
        </row>
        <row r="2627">
          <cell r="E2627" t="str">
            <v>Gastão Vidigal</v>
          </cell>
        </row>
        <row r="2628">
          <cell r="E2628" t="str">
            <v>Gavião Peixoto</v>
          </cell>
        </row>
        <row r="2629">
          <cell r="E2629" t="str">
            <v>General Salgado</v>
          </cell>
        </row>
        <row r="2630">
          <cell r="E2630" t="str">
            <v>Getulina</v>
          </cell>
        </row>
        <row r="2631">
          <cell r="E2631" t="str">
            <v>Glicério</v>
          </cell>
        </row>
        <row r="2632">
          <cell r="E2632" t="str">
            <v>Guaiçara</v>
          </cell>
        </row>
        <row r="2633">
          <cell r="E2633" t="str">
            <v>Guaimbê</v>
          </cell>
        </row>
        <row r="2634">
          <cell r="E2634" t="str">
            <v>Guaíra</v>
          </cell>
        </row>
        <row r="2635">
          <cell r="E2635" t="str">
            <v>Guapiaçu</v>
          </cell>
        </row>
        <row r="2636">
          <cell r="E2636" t="str">
            <v>Guapiara</v>
          </cell>
        </row>
        <row r="2637">
          <cell r="E2637" t="str">
            <v>Guará</v>
          </cell>
        </row>
        <row r="2638">
          <cell r="E2638" t="str">
            <v>Guaraçaí</v>
          </cell>
        </row>
        <row r="2639">
          <cell r="E2639" t="str">
            <v>Guaraci</v>
          </cell>
        </row>
        <row r="2640">
          <cell r="E2640" t="str">
            <v>Guarani d'Oeste</v>
          </cell>
        </row>
        <row r="2641">
          <cell r="E2641" t="str">
            <v>Guarantã</v>
          </cell>
        </row>
        <row r="2642">
          <cell r="E2642" t="str">
            <v>Guararapes</v>
          </cell>
        </row>
        <row r="2643">
          <cell r="E2643" t="str">
            <v>Guaratinguetá</v>
          </cell>
        </row>
        <row r="2644">
          <cell r="E2644" t="str">
            <v>Guareí</v>
          </cell>
        </row>
        <row r="2645">
          <cell r="E2645" t="str">
            <v>Guariba</v>
          </cell>
        </row>
        <row r="2646">
          <cell r="E2646" t="str">
            <v>Guarujá</v>
          </cell>
        </row>
        <row r="2647">
          <cell r="E2647" t="str">
            <v>Guatapará</v>
          </cell>
        </row>
        <row r="2648">
          <cell r="E2648" t="str">
            <v>Guzolândia</v>
          </cell>
        </row>
        <row r="2649">
          <cell r="E2649" t="str">
            <v>Herculândia</v>
          </cell>
        </row>
        <row r="2650">
          <cell r="E2650" t="str">
            <v>Holambra</v>
          </cell>
        </row>
        <row r="2651">
          <cell r="E2651" t="str">
            <v>Hortolândia</v>
          </cell>
        </row>
        <row r="2652">
          <cell r="E2652" t="str">
            <v>Iacanga</v>
          </cell>
        </row>
        <row r="2653">
          <cell r="E2653" t="str">
            <v>Iacri</v>
          </cell>
        </row>
        <row r="2654">
          <cell r="E2654" t="str">
            <v>Iaras</v>
          </cell>
        </row>
        <row r="2655">
          <cell r="E2655" t="str">
            <v>Ibaté</v>
          </cell>
        </row>
        <row r="2656">
          <cell r="E2656" t="str">
            <v>Ibirá</v>
          </cell>
        </row>
        <row r="2657">
          <cell r="E2657" t="str">
            <v>Ibirarema</v>
          </cell>
        </row>
        <row r="2658">
          <cell r="E2658" t="str">
            <v>Ibitinga</v>
          </cell>
        </row>
        <row r="2659">
          <cell r="E2659" t="str">
            <v>Ibiúna</v>
          </cell>
        </row>
        <row r="2660">
          <cell r="E2660" t="str">
            <v>Icém</v>
          </cell>
        </row>
        <row r="2661">
          <cell r="E2661" t="str">
            <v>Iepê</v>
          </cell>
        </row>
        <row r="2662">
          <cell r="E2662" t="str">
            <v>Igaraçu do Tietê</v>
          </cell>
        </row>
        <row r="2663">
          <cell r="E2663" t="str">
            <v>Igarapava</v>
          </cell>
        </row>
        <row r="2664">
          <cell r="E2664" t="str">
            <v>Iguape</v>
          </cell>
        </row>
        <row r="2665">
          <cell r="E2665" t="str">
            <v>Ilha Comprida</v>
          </cell>
        </row>
        <row r="2666">
          <cell r="E2666" t="str">
            <v>Ilha Solteira</v>
          </cell>
        </row>
        <row r="2667">
          <cell r="E2667" t="str">
            <v>Ilhabela</v>
          </cell>
        </row>
        <row r="2668">
          <cell r="E2668" t="str">
            <v>Indaiatuba</v>
          </cell>
        </row>
        <row r="2669">
          <cell r="E2669" t="str">
            <v>Indiana</v>
          </cell>
        </row>
        <row r="2670">
          <cell r="E2670" t="str">
            <v>Indiaporã</v>
          </cell>
        </row>
        <row r="2671">
          <cell r="E2671" t="str">
            <v>Inúbia Paulista</v>
          </cell>
        </row>
        <row r="2672">
          <cell r="E2672" t="str">
            <v>Ipaussu</v>
          </cell>
        </row>
        <row r="2673">
          <cell r="E2673" t="str">
            <v>Iperó</v>
          </cell>
        </row>
        <row r="2674">
          <cell r="E2674" t="str">
            <v>Ipeúna</v>
          </cell>
        </row>
        <row r="2675">
          <cell r="E2675" t="str">
            <v>Ipiguá</v>
          </cell>
        </row>
        <row r="2676">
          <cell r="E2676" t="str">
            <v>Iporanga</v>
          </cell>
        </row>
        <row r="2677">
          <cell r="E2677" t="str">
            <v>Ipuã</v>
          </cell>
        </row>
        <row r="2678">
          <cell r="E2678" t="str">
            <v>Iracemápolis</v>
          </cell>
        </row>
        <row r="2679">
          <cell r="E2679" t="str">
            <v>Irapuã</v>
          </cell>
        </row>
        <row r="2680">
          <cell r="E2680" t="str">
            <v>Irapuru</v>
          </cell>
        </row>
        <row r="2681">
          <cell r="E2681" t="str">
            <v>Itaberá</v>
          </cell>
        </row>
        <row r="2682">
          <cell r="E2682" t="str">
            <v>Itaí</v>
          </cell>
        </row>
        <row r="2683">
          <cell r="E2683" t="str">
            <v>Itajobi</v>
          </cell>
        </row>
        <row r="2684">
          <cell r="E2684" t="str">
            <v>Itaju</v>
          </cell>
        </row>
        <row r="2685">
          <cell r="E2685" t="str">
            <v>Itanhaém</v>
          </cell>
        </row>
        <row r="2686">
          <cell r="E2686" t="str">
            <v>Itaóca</v>
          </cell>
        </row>
        <row r="2687">
          <cell r="E2687" t="str">
            <v>Itapetininga</v>
          </cell>
        </row>
        <row r="2688">
          <cell r="E2688" t="str">
            <v>Itapeva</v>
          </cell>
        </row>
        <row r="2689">
          <cell r="E2689" t="str">
            <v>Itapira</v>
          </cell>
        </row>
        <row r="2690">
          <cell r="E2690" t="str">
            <v>Itapirapuã Paulista</v>
          </cell>
        </row>
        <row r="2691">
          <cell r="E2691" t="str">
            <v>Itápolis</v>
          </cell>
        </row>
        <row r="2692">
          <cell r="E2692" t="str">
            <v>Itaporanga</v>
          </cell>
        </row>
        <row r="2693">
          <cell r="E2693" t="str">
            <v>Itapuí</v>
          </cell>
        </row>
        <row r="2694">
          <cell r="E2694" t="str">
            <v>Itapura</v>
          </cell>
        </row>
        <row r="2695">
          <cell r="E2695" t="str">
            <v>Itararé</v>
          </cell>
        </row>
        <row r="2696">
          <cell r="E2696" t="str">
            <v>Itariri</v>
          </cell>
        </row>
        <row r="2697">
          <cell r="E2697" t="str">
            <v>Itatinga</v>
          </cell>
        </row>
        <row r="2698">
          <cell r="E2698" t="str">
            <v>Itirapina</v>
          </cell>
        </row>
        <row r="2699">
          <cell r="E2699" t="str">
            <v>Itirapuã</v>
          </cell>
        </row>
        <row r="2700">
          <cell r="E2700" t="str">
            <v>Itobi</v>
          </cell>
        </row>
        <row r="2701">
          <cell r="E2701" t="str">
            <v>Ituverava</v>
          </cell>
        </row>
        <row r="2702">
          <cell r="E2702" t="str">
            <v>Jaborandi</v>
          </cell>
        </row>
        <row r="2703">
          <cell r="E2703" t="str">
            <v>Jaboticabal</v>
          </cell>
        </row>
        <row r="2704">
          <cell r="E2704" t="str">
            <v>Jacareí</v>
          </cell>
        </row>
        <row r="2705">
          <cell r="E2705" t="str">
            <v>Jaci</v>
          </cell>
        </row>
        <row r="2706">
          <cell r="E2706" t="str">
            <v>Jacupiranga</v>
          </cell>
        </row>
        <row r="2707">
          <cell r="E2707" t="str">
            <v>Jaguariúna</v>
          </cell>
        </row>
        <row r="2708">
          <cell r="E2708" t="str">
            <v>Jales</v>
          </cell>
        </row>
        <row r="2709">
          <cell r="E2709" t="str">
            <v>Jambeiro</v>
          </cell>
        </row>
        <row r="2710">
          <cell r="E2710" t="str">
            <v>Jardinópolis</v>
          </cell>
        </row>
        <row r="2711">
          <cell r="E2711" t="str">
            <v>Jaú</v>
          </cell>
        </row>
        <row r="2712">
          <cell r="E2712" t="str">
            <v>Jeriquara</v>
          </cell>
        </row>
        <row r="2713">
          <cell r="E2713" t="str">
            <v>João Ramalho</v>
          </cell>
        </row>
        <row r="2714">
          <cell r="E2714" t="str">
            <v>José Bonifácio</v>
          </cell>
        </row>
        <row r="2715">
          <cell r="E2715" t="str">
            <v>Júlio Mesquita</v>
          </cell>
        </row>
        <row r="2716">
          <cell r="E2716" t="str">
            <v>Jumirim</v>
          </cell>
        </row>
        <row r="2717">
          <cell r="E2717" t="str">
            <v>Junqueirópolis</v>
          </cell>
        </row>
        <row r="2718">
          <cell r="E2718" t="str">
            <v>Juquiá</v>
          </cell>
        </row>
        <row r="2719">
          <cell r="E2719" t="str">
            <v>Lagoinha</v>
          </cell>
        </row>
        <row r="2720">
          <cell r="E2720" t="str">
            <v>Laranjal Paulista</v>
          </cell>
        </row>
        <row r="2721">
          <cell r="E2721" t="str">
            <v>Lavínia</v>
          </cell>
        </row>
        <row r="2722">
          <cell r="E2722" t="str">
            <v>Lavrinhas</v>
          </cell>
        </row>
        <row r="2723">
          <cell r="E2723" t="str">
            <v>Leme</v>
          </cell>
        </row>
        <row r="2724">
          <cell r="E2724" t="str">
            <v>Lençóis Paulista</v>
          </cell>
        </row>
        <row r="2725">
          <cell r="E2725" t="str">
            <v>Limeira</v>
          </cell>
        </row>
        <row r="2726">
          <cell r="E2726" t="str">
            <v>Lindóia</v>
          </cell>
        </row>
        <row r="2727">
          <cell r="E2727" t="str">
            <v>Lins</v>
          </cell>
        </row>
        <row r="2728">
          <cell r="E2728" t="str">
            <v>Lorena</v>
          </cell>
        </row>
        <row r="2729">
          <cell r="E2729" t="str">
            <v>Lourdes</v>
          </cell>
        </row>
        <row r="2730">
          <cell r="E2730" t="str">
            <v>Louveira</v>
          </cell>
        </row>
        <row r="2731">
          <cell r="E2731" t="str">
            <v>Lucélia</v>
          </cell>
        </row>
        <row r="2732">
          <cell r="E2732" t="str">
            <v>Lucianópolis</v>
          </cell>
        </row>
        <row r="2733">
          <cell r="E2733" t="str">
            <v>Luís Antônio</v>
          </cell>
        </row>
        <row r="2734">
          <cell r="E2734" t="str">
            <v>Luiziânia</v>
          </cell>
        </row>
        <row r="2735">
          <cell r="E2735" t="str">
            <v>Lupércio</v>
          </cell>
        </row>
        <row r="2736">
          <cell r="E2736" t="str">
            <v>Lutécia</v>
          </cell>
        </row>
        <row r="2737">
          <cell r="E2737" t="str">
            <v>Macatuba</v>
          </cell>
        </row>
        <row r="2738">
          <cell r="E2738" t="str">
            <v>Macaubal</v>
          </cell>
        </row>
        <row r="2739">
          <cell r="E2739" t="str">
            <v>Macedônia</v>
          </cell>
        </row>
        <row r="2740">
          <cell r="E2740" t="str">
            <v>Magda</v>
          </cell>
        </row>
        <row r="2741">
          <cell r="E2741" t="str">
            <v>Manduri</v>
          </cell>
        </row>
        <row r="2742">
          <cell r="E2742" t="str">
            <v>Marabá Paulista</v>
          </cell>
        </row>
        <row r="2743">
          <cell r="E2743" t="str">
            <v>Maracaí</v>
          </cell>
        </row>
        <row r="2744">
          <cell r="E2744" t="str">
            <v>Marapoama</v>
          </cell>
        </row>
        <row r="2745">
          <cell r="E2745" t="str">
            <v>Mariápolis</v>
          </cell>
        </row>
        <row r="2746">
          <cell r="E2746" t="str">
            <v>Marília</v>
          </cell>
        </row>
        <row r="2747">
          <cell r="E2747" t="str">
            <v>Marinópolis</v>
          </cell>
        </row>
        <row r="2748">
          <cell r="E2748" t="str">
            <v>Martinópolis</v>
          </cell>
        </row>
        <row r="2749">
          <cell r="E2749" t="str">
            <v>Matão</v>
          </cell>
        </row>
        <row r="2750">
          <cell r="E2750" t="str">
            <v>Mendonça</v>
          </cell>
        </row>
        <row r="2751">
          <cell r="E2751" t="str">
            <v>Meridiano</v>
          </cell>
        </row>
        <row r="2752">
          <cell r="E2752" t="str">
            <v>Mesópolis</v>
          </cell>
        </row>
        <row r="2753">
          <cell r="E2753" t="str">
            <v>Miguelópolis</v>
          </cell>
        </row>
        <row r="2754">
          <cell r="E2754" t="str">
            <v>Mineiros do Tietê</v>
          </cell>
        </row>
        <row r="2755">
          <cell r="E2755" t="str">
            <v>Mira Estrela</v>
          </cell>
        </row>
        <row r="2756">
          <cell r="E2756" t="str">
            <v>Miracatu</v>
          </cell>
        </row>
        <row r="2757">
          <cell r="E2757" t="str">
            <v>Mirandópolis</v>
          </cell>
        </row>
        <row r="2758">
          <cell r="E2758" t="str">
            <v>Mirante do Paranapanema</v>
          </cell>
        </row>
        <row r="2759">
          <cell r="E2759" t="str">
            <v>Mirassol</v>
          </cell>
        </row>
        <row r="2760">
          <cell r="E2760" t="str">
            <v>Mirassolândia</v>
          </cell>
        </row>
        <row r="2761">
          <cell r="E2761" t="str">
            <v>Mococa</v>
          </cell>
        </row>
        <row r="2762">
          <cell r="E2762" t="str">
            <v>Mogi Guaçu</v>
          </cell>
        </row>
        <row r="2763">
          <cell r="E2763" t="str">
            <v>Moji-Mirim</v>
          </cell>
        </row>
        <row r="2764">
          <cell r="E2764" t="str">
            <v>Mombuca</v>
          </cell>
        </row>
        <row r="2765">
          <cell r="E2765" t="str">
            <v>Monções</v>
          </cell>
        </row>
        <row r="2766">
          <cell r="E2766" t="str">
            <v>Mongaguá</v>
          </cell>
        </row>
        <row r="2767">
          <cell r="E2767" t="str">
            <v>Monte Alegre do Sul</v>
          </cell>
        </row>
        <row r="2768">
          <cell r="E2768" t="str">
            <v>Monte Alto</v>
          </cell>
        </row>
        <row r="2769">
          <cell r="E2769" t="str">
            <v>Monte Aprazível</v>
          </cell>
        </row>
        <row r="2770">
          <cell r="E2770" t="str">
            <v>Monte Azul Paulista</v>
          </cell>
        </row>
        <row r="2771">
          <cell r="E2771" t="str">
            <v>Monte Castelo</v>
          </cell>
        </row>
        <row r="2772">
          <cell r="E2772" t="str">
            <v>Monte Mor</v>
          </cell>
        </row>
        <row r="2773">
          <cell r="E2773" t="str">
            <v>Monteiro Lobato</v>
          </cell>
        </row>
        <row r="2774">
          <cell r="E2774" t="str">
            <v>Morro Agudo</v>
          </cell>
        </row>
        <row r="2775">
          <cell r="E2775" t="str">
            <v>Motuca</v>
          </cell>
        </row>
        <row r="2776">
          <cell r="E2776" t="str">
            <v>Murutinga do Sul</v>
          </cell>
        </row>
        <row r="2777">
          <cell r="E2777" t="str">
            <v>Nantes</v>
          </cell>
        </row>
        <row r="2778">
          <cell r="E2778" t="str">
            <v>Narandiba</v>
          </cell>
        </row>
        <row r="2779">
          <cell r="E2779" t="str">
            <v>Natividade da Serra</v>
          </cell>
        </row>
        <row r="2780">
          <cell r="E2780" t="str">
            <v>Neves Paulista</v>
          </cell>
        </row>
        <row r="2781">
          <cell r="E2781" t="str">
            <v>Nhandeara</v>
          </cell>
        </row>
        <row r="2782">
          <cell r="E2782" t="str">
            <v>Nipoã</v>
          </cell>
        </row>
        <row r="2783">
          <cell r="E2783" t="str">
            <v>Nova Aliança</v>
          </cell>
        </row>
        <row r="2784">
          <cell r="E2784" t="str">
            <v>Nova Campina</v>
          </cell>
        </row>
        <row r="2785">
          <cell r="E2785" t="str">
            <v>Nova Canaã Paulista</v>
          </cell>
        </row>
        <row r="2786">
          <cell r="E2786" t="str">
            <v>Nova Castilho</v>
          </cell>
        </row>
        <row r="2787">
          <cell r="E2787" t="str">
            <v>Nova Europa</v>
          </cell>
        </row>
        <row r="2788">
          <cell r="E2788" t="str">
            <v>Nova Granada</v>
          </cell>
        </row>
        <row r="2789">
          <cell r="E2789" t="str">
            <v>Nova Guataporanga</v>
          </cell>
        </row>
        <row r="2790">
          <cell r="E2790" t="str">
            <v>Nova Independência</v>
          </cell>
        </row>
        <row r="2791">
          <cell r="E2791" t="str">
            <v>Nova Luzitânia</v>
          </cell>
        </row>
        <row r="2792">
          <cell r="E2792" t="str">
            <v>Nova Odessa</v>
          </cell>
        </row>
        <row r="2793">
          <cell r="E2793" t="str">
            <v>Novais</v>
          </cell>
        </row>
        <row r="2794">
          <cell r="E2794" t="str">
            <v>Novo Horizonte</v>
          </cell>
        </row>
        <row r="2795">
          <cell r="E2795" t="str">
            <v>Nuporanga</v>
          </cell>
        </row>
        <row r="2796">
          <cell r="E2796" t="str">
            <v>Ocauçu</v>
          </cell>
        </row>
        <row r="2797">
          <cell r="E2797" t="str">
            <v>Óleo</v>
          </cell>
        </row>
        <row r="2798">
          <cell r="E2798" t="str">
            <v>Olímpia</v>
          </cell>
        </row>
        <row r="2799">
          <cell r="E2799" t="str">
            <v>Onda Verde</v>
          </cell>
        </row>
        <row r="2800">
          <cell r="E2800" t="str">
            <v>Oriente</v>
          </cell>
        </row>
        <row r="2801">
          <cell r="E2801" t="str">
            <v>Orindiúva</v>
          </cell>
        </row>
        <row r="2802">
          <cell r="E2802" t="str">
            <v>Orlândia</v>
          </cell>
        </row>
        <row r="2803">
          <cell r="E2803" t="str">
            <v>Oscar Bressane</v>
          </cell>
        </row>
        <row r="2804">
          <cell r="E2804" t="str">
            <v>Osvaldo Cruz</v>
          </cell>
        </row>
        <row r="2805">
          <cell r="E2805" t="str">
            <v>Ourinhos</v>
          </cell>
        </row>
        <row r="2806">
          <cell r="E2806" t="str">
            <v>Ouro Verde</v>
          </cell>
        </row>
        <row r="2807">
          <cell r="E2807" t="str">
            <v>Ouroeste</v>
          </cell>
        </row>
        <row r="2808">
          <cell r="E2808" t="str">
            <v>Pacaembu</v>
          </cell>
        </row>
        <row r="2809">
          <cell r="E2809" t="str">
            <v>Palestina</v>
          </cell>
        </row>
        <row r="2810">
          <cell r="E2810" t="str">
            <v>Palmares Paulista</v>
          </cell>
        </row>
        <row r="2811">
          <cell r="E2811" t="str">
            <v>Palmeira d'Oeste</v>
          </cell>
        </row>
        <row r="2812">
          <cell r="E2812" t="str">
            <v>Palmital</v>
          </cell>
        </row>
        <row r="2813">
          <cell r="E2813" t="str">
            <v>Panorama</v>
          </cell>
        </row>
        <row r="2814">
          <cell r="E2814" t="str">
            <v>Paraguaçu Paulista</v>
          </cell>
        </row>
        <row r="2815">
          <cell r="E2815" t="str">
            <v>Paraibuna</v>
          </cell>
        </row>
        <row r="2816">
          <cell r="E2816" t="str">
            <v>Paraíso</v>
          </cell>
        </row>
        <row r="2817">
          <cell r="E2817" t="str">
            <v>Paranapanema</v>
          </cell>
        </row>
        <row r="2818">
          <cell r="E2818" t="str">
            <v>Paranapuã</v>
          </cell>
        </row>
        <row r="2819">
          <cell r="E2819" t="str">
            <v>Parapuã</v>
          </cell>
        </row>
        <row r="2820">
          <cell r="E2820" t="str">
            <v>Pardinho</v>
          </cell>
        </row>
        <row r="2821">
          <cell r="E2821" t="str">
            <v>Pariquera-Açu</v>
          </cell>
        </row>
        <row r="2822">
          <cell r="E2822" t="str">
            <v>Parisi</v>
          </cell>
        </row>
        <row r="2823">
          <cell r="E2823" t="str">
            <v>Patrocínio Paulista</v>
          </cell>
        </row>
        <row r="2824">
          <cell r="E2824" t="str">
            <v>Paulicéia</v>
          </cell>
        </row>
        <row r="2825">
          <cell r="E2825" t="str">
            <v>Paulínia</v>
          </cell>
        </row>
        <row r="2826">
          <cell r="E2826" t="str">
            <v>Paulistânia</v>
          </cell>
        </row>
        <row r="2827">
          <cell r="E2827" t="str">
            <v>Paulo de Faria</v>
          </cell>
        </row>
        <row r="2828">
          <cell r="E2828" t="str">
            <v>Pederneiras</v>
          </cell>
        </row>
        <row r="2829">
          <cell r="E2829" t="str">
            <v>Pedranópolis</v>
          </cell>
        </row>
        <row r="2830">
          <cell r="E2830" t="str">
            <v>Pedregulho</v>
          </cell>
        </row>
        <row r="2831">
          <cell r="E2831" t="str">
            <v>Pedreira</v>
          </cell>
        </row>
        <row r="2832">
          <cell r="E2832" t="str">
            <v>Pedrinhas Paulista</v>
          </cell>
        </row>
        <row r="2833">
          <cell r="E2833" t="str">
            <v>Pedro de Toledo</v>
          </cell>
        </row>
        <row r="2834">
          <cell r="E2834" t="str">
            <v>Penápolis</v>
          </cell>
        </row>
        <row r="2835">
          <cell r="E2835" t="str">
            <v>Pereira Barreto</v>
          </cell>
        </row>
        <row r="2836">
          <cell r="E2836" t="str">
            <v>Pereiras</v>
          </cell>
        </row>
        <row r="2837">
          <cell r="E2837" t="str">
            <v>Peruíbe</v>
          </cell>
        </row>
        <row r="2838">
          <cell r="E2838" t="str">
            <v>Piacatu</v>
          </cell>
        </row>
        <row r="2839">
          <cell r="E2839" t="str">
            <v>Piedade</v>
          </cell>
        </row>
        <row r="2840">
          <cell r="E2840" t="str">
            <v>Pilar do Sul</v>
          </cell>
        </row>
        <row r="2841">
          <cell r="E2841" t="str">
            <v>Pindamonhangaba</v>
          </cell>
        </row>
        <row r="2842">
          <cell r="E2842" t="str">
            <v>Pindorama</v>
          </cell>
        </row>
        <row r="2843">
          <cell r="E2843" t="str">
            <v>Piquerobi</v>
          </cell>
        </row>
        <row r="2844">
          <cell r="E2844" t="str">
            <v>Piquete</v>
          </cell>
        </row>
        <row r="2845">
          <cell r="E2845" t="str">
            <v>Piracicaba</v>
          </cell>
        </row>
        <row r="2846">
          <cell r="E2846" t="str">
            <v>Piraju</v>
          </cell>
        </row>
        <row r="2847">
          <cell r="E2847" t="str">
            <v>Pirajuí</v>
          </cell>
        </row>
        <row r="2848">
          <cell r="E2848" t="str">
            <v>Pirangi</v>
          </cell>
        </row>
        <row r="2849">
          <cell r="E2849" t="str">
            <v>Pirapozinho</v>
          </cell>
        </row>
        <row r="2850">
          <cell r="E2850" t="str">
            <v>Pirassununga</v>
          </cell>
        </row>
        <row r="2851">
          <cell r="E2851" t="str">
            <v>Piratininga</v>
          </cell>
        </row>
        <row r="2852">
          <cell r="E2852" t="str">
            <v>Pitangueiras</v>
          </cell>
        </row>
        <row r="2853">
          <cell r="E2853" t="str">
            <v>Planalto</v>
          </cell>
        </row>
        <row r="2854">
          <cell r="E2854" t="str">
            <v>Platina</v>
          </cell>
        </row>
        <row r="2855">
          <cell r="E2855" t="str">
            <v>Poloni</v>
          </cell>
        </row>
        <row r="2856">
          <cell r="E2856" t="str">
            <v>Pompéia</v>
          </cell>
        </row>
        <row r="2857">
          <cell r="E2857" t="str">
            <v>Pongaí</v>
          </cell>
        </row>
        <row r="2858">
          <cell r="E2858" t="str">
            <v>Pontal</v>
          </cell>
        </row>
        <row r="2859">
          <cell r="E2859" t="str">
            <v>Pontalinda</v>
          </cell>
        </row>
        <row r="2860">
          <cell r="E2860" t="str">
            <v>Pontes Gestal</v>
          </cell>
        </row>
        <row r="2861">
          <cell r="E2861" t="str">
            <v>Populina</v>
          </cell>
        </row>
        <row r="2862">
          <cell r="E2862" t="str">
            <v>Porangaba</v>
          </cell>
        </row>
        <row r="2863">
          <cell r="E2863" t="str">
            <v>Porto Feliz</v>
          </cell>
        </row>
        <row r="2864">
          <cell r="E2864" t="str">
            <v>Porto Ferreira</v>
          </cell>
        </row>
        <row r="2865">
          <cell r="E2865" t="str">
            <v>Potim</v>
          </cell>
        </row>
        <row r="2866">
          <cell r="E2866" t="str">
            <v>Potirendaba</v>
          </cell>
        </row>
        <row r="2867">
          <cell r="E2867" t="str">
            <v>Pracinha</v>
          </cell>
        </row>
        <row r="2868">
          <cell r="E2868" t="str">
            <v>Pradópolis</v>
          </cell>
        </row>
        <row r="2869">
          <cell r="E2869" t="str">
            <v>Praia Grande</v>
          </cell>
        </row>
        <row r="2870">
          <cell r="E2870" t="str">
            <v>Pratânia</v>
          </cell>
        </row>
        <row r="2871">
          <cell r="E2871" t="str">
            <v>Presidente Alves</v>
          </cell>
        </row>
        <row r="2872">
          <cell r="E2872" t="str">
            <v>Presidente Bernardes</v>
          </cell>
        </row>
        <row r="2873">
          <cell r="E2873" t="str">
            <v>Presidente Epitácio</v>
          </cell>
        </row>
        <row r="2874">
          <cell r="E2874" t="str">
            <v>Presidente Prudente</v>
          </cell>
        </row>
        <row r="2875">
          <cell r="E2875" t="str">
            <v>Presidente Venceslau</v>
          </cell>
        </row>
        <row r="2876">
          <cell r="E2876" t="str">
            <v>Promissão</v>
          </cell>
        </row>
        <row r="2877">
          <cell r="E2877" t="str">
            <v>Quadra</v>
          </cell>
        </row>
        <row r="2878">
          <cell r="E2878" t="str">
            <v>Quatá</v>
          </cell>
        </row>
        <row r="2879">
          <cell r="E2879" t="str">
            <v>Queiroz</v>
          </cell>
        </row>
        <row r="2880">
          <cell r="E2880" t="str">
            <v>Queluz</v>
          </cell>
        </row>
        <row r="2881">
          <cell r="E2881" t="str">
            <v>Quintana</v>
          </cell>
        </row>
        <row r="2882">
          <cell r="E2882" t="str">
            <v>Rafard</v>
          </cell>
        </row>
        <row r="2883">
          <cell r="E2883" t="str">
            <v>Rancharia</v>
          </cell>
        </row>
        <row r="2884">
          <cell r="E2884" t="str">
            <v>Redenção da Serra</v>
          </cell>
        </row>
        <row r="2885">
          <cell r="E2885" t="str">
            <v>Regente Feijó</v>
          </cell>
        </row>
        <row r="2886">
          <cell r="E2886" t="str">
            <v>Reginópolis</v>
          </cell>
        </row>
        <row r="2887">
          <cell r="E2887" t="str">
            <v>Registro</v>
          </cell>
        </row>
        <row r="2888">
          <cell r="E2888" t="str">
            <v>Restinga</v>
          </cell>
        </row>
        <row r="2889">
          <cell r="E2889" t="str">
            <v>Ribeira</v>
          </cell>
        </row>
        <row r="2890">
          <cell r="E2890" t="str">
            <v>Ribeirão Bonito</v>
          </cell>
        </row>
        <row r="2891">
          <cell r="E2891" t="str">
            <v>Ribeirão Branco</v>
          </cell>
        </row>
        <row r="2892">
          <cell r="E2892" t="str">
            <v>Ribeirão Corrente</v>
          </cell>
        </row>
        <row r="2893">
          <cell r="E2893" t="str">
            <v>Ribeirão do Sul</v>
          </cell>
        </row>
        <row r="2894">
          <cell r="E2894" t="str">
            <v>Ribeirão dos Índios</v>
          </cell>
        </row>
        <row r="2895">
          <cell r="E2895" t="str">
            <v>Ribeirão Grande</v>
          </cell>
        </row>
        <row r="2896">
          <cell r="E2896" t="str">
            <v>Ribeirão Preto</v>
          </cell>
        </row>
        <row r="2897">
          <cell r="E2897" t="str">
            <v>Rifaina</v>
          </cell>
        </row>
        <row r="2898">
          <cell r="E2898" t="str">
            <v>Rincão</v>
          </cell>
        </row>
        <row r="2899">
          <cell r="E2899" t="str">
            <v>Rinópolis</v>
          </cell>
        </row>
        <row r="2900">
          <cell r="E2900" t="str">
            <v>Rio Claro</v>
          </cell>
        </row>
        <row r="2901">
          <cell r="E2901" t="str">
            <v>Rio das Pedras</v>
          </cell>
        </row>
        <row r="2902">
          <cell r="E2902" t="str">
            <v>Riolândia</v>
          </cell>
        </row>
        <row r="2903">
          <cell r="E2903" t="str">
            <v>Riversul</v>
          </cell>
        </row>
        <row r="2904">
          <cell r="E2904" t="str">
            <v>Rosana</v>
          </cell>
        </row>
        <row r="2905">
          <cell r="E2905" t="str">
            <v>Roseira</v>
          </cell>
        </row>
        <row r="2906">
          <cell r="E2906" t="str">
            <v>Rubiácea</v>
          </cell>
        </row>
        <row r="2907">
          <cell r="E2907" t="str">
            <v>Rubinéia</v>
          </cell>
        </row>
        <row r="2908">
          <cell r="E2908" t="str">
            <v>Sabino</v>
          </cell>
        </row>
        <row r="2909">
          <cell r="E2909" t="str">
            <v>Sagres</v>
          </cell>
        </row>
        <row r="2910">
          <cell r="E2910" t="str">
            <v>Sales</v>
          </cell>
        </row>
        <row r="2911">
          <cell r="E2911" t="str">
            <v>Sales Oliveira</v>
          </cell>
        </row>
        <row r="2912">
          <cell r="E2912" t="str">
            <v>Salmourão</v>
          </cell>
        </row>
        <row r="2913">
          <cell r="E2913" t="str">
            <v>Saltinho</v>
          </cell>
        </row>
        <row r="2914">
          <cell r="E2914" t="str">
            <v>Salto de Pirapora</v>
          </cell>
        </row>
        <row r="2915">
          <cell r="E2915" t="str">
            <v>Salto Grande</v>
          </cell>
        </row>
        <row r="2916">
          <cell r="E2916" t="str">
            <v>Sandovalina</v>
          </cell>
        </row>
        <row r="2917">
          <cell r="E2917" t="str">
            <v>Santa Adélia</v>
          </cell>
        </row>
        <row r="2918">
          <cell r="E2918" t="str">
            <v>Santa Albertina</v>
          </cell>
        </row>
        <row r="2919">
          <cell r="E2919" t="str">
            <v>Santa Bárbara d'Oeste</v>
          </cell>
        </row>
        <row r="2920">
          <cell r="E2920" t="str">
            <v>Santa Branca</v>
          </cell>
        </row>
        <row r="2921">
          <cell r="E2921" t="str">
            <v>Santa Clara d'Oeste</v>
          </cell>
        </row>
        <row r="2922">
          <cell r="E2922" t="str">
            <v>Santa Cruz da Conceição</v>
          </cell>
        </row>
        <row r="2923">
          <cell r="E2923" t="str">
            <v>Santa Cruz da Esperança</v>
          </cell>
        </row>
        <row r="2924">
          <cell r="E2924" t="str">
            <v>Santa Cruz das Palmeiras</v>
          </cell>
        </row>
        <row r="2925">
          <cell r="E2925" t="str">
            <v>Santa Cruz do Rio Pardo</v>
          </cell>
        </row>
        <row r="2926">
          <cell r="E2926" t="str">
            <v>Santa Ernestina</v>
          </cell>
        </row>
        <row r="2927">
          <cell r="E2927" t="str">
            <v>Santa Fé do Sul</v>
          </cell>
        </row>
        <row r="2928">
          <cell r="E2928" t="str">
            <v>Santa Gertrudes</v>
          </cell>
        </row>
        <row r="2929">
          <cell r="E2929" t="str">
            <v>Santa Lúcia</v>
          </cell>
        </row>
        <row r="2930">
          <cell r="E2930" t="str">
            <v>Santa Maria da Serra</v>
          </cell>
        </row>
        <row r="2931">
          <cell r="E2931" t="str">
            <v>Santa Mercedes</v>
          </cell>
        </row>
        <row r="2932">
          <cell r="E2932" t="str">
            <v>Santa Rita do Passa Quatro</v>
          </cell>
        </row>
        <row r="2933">
          <cell r="E2933" t="str">
            <v>Santa Rita d'Oeste</v>
          </cell>
        </row>
        <row r="2934">
          <cell r="E2934" t="str">
            <v>Santa Rosa de Viterbo</v>
          </cell>
        </row>
        <row r="2935">
          <cell r="E2935" t="str">
            <v>Santa Salete</v>
          </cell>
        </row>
        <row r="2936">
          <cell r="E2936" t="str">
            <v>Santana da Ponte Pensa</v>
          </cell>
        </row>
        <row r="2937">
          <cell r="E2937" t="str">
            <v>Santo Anastácio</v>
          </cell>
        </row>
        <row r="2938">
          <cell r="E2938" t="str">
            <v>Santo Antônio da Alegria</v>
          </cell>
        </row>
        <row r="2939">
          <cell r="E2939" t="str">
            <v>Santo Antônio de Posse</v>
          </cell>
        </row>
        <row r="2940">
          <cell r="E2940" t="str">
            <v>Santo Antônio do Aracanguá</v>
          </cell>
        </row>
        <row r="2941">
          <cell r="E2941" t="str">
            <v>Santo Antônio do Jardim</v>
          </cell>
        </row>
        <row r="2942">
          <cell r="E2942" t="str">
            <v>Santo Antônio do Pinhal</v>
          </cell>
        </row>
        <row r="2943">
          <cell r="E2943" t="str">
            <v>Santo Expedito</v>
          </cell>
        </row>
        <row r="2944">
          <cell r="E2944" t="str">
            <v>Santópolis do Aguapeí</v>
          </cell>
        </row>
        <row r="2945">
          <cell r="E2945" t="str">
            <v>Santos</v>
          </cell>
        </row>
        <row r="2946">
          <cell r="E2946" t="str">
            <v>São Bento do Sapucaí</v>
          </cell>
        </row>
        <row r="2947">
          <cell r="E2947" t="str">
            <v>São Carlos</v>
          </cell>
        </row>
        <row r="2948">
          <cell r="E2948" t="str">
            <v>São Francisco</v>
          </cell>
        </row>
        <row r="2949">
          <cell r="E2949" t="str">
            <v>São João da Boa Vista</v>
          </cell>
        </row>
        <row r="2950">
          <cell r="E2950" t="str">
            <v>São João das Duas Pontes</v>
          </cell>
        </row>
        <row r="2951">
          <cell r="E2951" t="str">
            <v>São João de Iracema</v>
          </cell>
        </row>
        <row r="2952">
          <cell r="E2952" t="str">
            <v>São João do Pau d'Alho</v>
          </cell>
        </row>
        <row r="2953">
          <cell r="E2953" t="str">
            <v>São Joaquim da Barra</v>
          </cell>
        </row>
        <row r="2954">
          <cell r="E2954" t="str">
            <v>São José da Bela Vista</v>
          </cell>
        </row>
        <row r="2955">
          <cell r="E2955" t="str">
            <v>São José do Barreiro</v>
          </cell>
        </row>
        <row r="2956">
          <cell r="E2956" t="str">
            <v>São José do Rio Pardo</v>
          </cell>
        </row>
        <row r="2957">
          <cell r="E2957" t="str">
            <v>São José do Rio Preto</v>
          </cell>
        </row>
        <row r="2958">
          <cell r="E2958" t="str">
            <v>São José dos Campos</v>
          </cell>
        </row>
        <row r="2959">
          <cell r="E2959" t="str">
            <v>São Luís do Paraitinga</v>
          </cell>
        </row>
        <row r="2960">
          <cell r="E2960" t="str">
            <v>São Manuel</v>
          </cell>
        </row>
        <row r="2961">
          <cell r="E2961" t="str">
            <v>São Miguel Arcanjo</v>
          </cell>
        </row>
        <row r="2962">
          <cell r="E2962" t="str">
            <v>São Pedro</v>
          </cell>
        </row>
        <row r="2963">
          <cell r="E2963" t="str">
            <v>São Pedro do Turvo</v>
          </cell>
        </row>
        <row r="2964">
          <cell r="E2964" t="str">
            <v>São Sebastião</v>
          </cell>
        </row>
        <row r="2965">
          <cell r="E2965" t="str">
            <v>São Sebastião da Grama</v>
          </cell>
        </row>
        <row r="2966">
          <cell r="E2966" t="str">
            <v>São Simão</v>
          </cell>
        </row>
        <row r="2967">
          <cell r="E2967" t="str">
            <v>São Vicente</v>
          </cell>
        </row>
        <row r="2968">
          <cell r="E2968" t="str">
            <v>Sarapuí</v>
          </cell>
        </row>
        <row r="2969">
          <cell r="E2969" t="str">
            <v>Sarutaiá</v>
          </cell>
        </row>
        <row r="2970">
          <cell r="E2970" t="str">
            <v>Sebastianópolis do Sul</v>
          </cell>
        </row>
        <row r="2971">
          <cell r="E2971" t="str">
            <v>Serra Azul</v>
          </cell>
        </row>
        <row r="2972">
          <cell r="E2972" t="str">
            <v>Serra Negra</v>
          </cell>
        </row>
        <row r="2973">
          <cell r="E2973" t="str">
            <v>Serrana</v>
          </cell>
        </row>
        <row r="2974">
          <cell r="E2974" t="str">
            <v>Sertãozinho</v>
          </cell>
        </row>
        <row r="2975">
          <cell r="E2975" t="str">
            <v>Sete Barras</v>
          </cell>
        </row>
        <row r="2976">
          <cell r="E2976" t="str">
            <v>Severínia</v>
          </cell>
        </row>
        <row r="2977">
          <cell r="E2977" t="str">
            <v>Silveiras</v>
          </cell>
        </row>
        <row r="2978">
          <cell r="E2978" t="str">
            <v>Socorro</v>
          </cell>
        </row>
        <row r="2979">
          <cell r="E2979" t="str">
            <v>Sorocaba</v>
          </cell>
        </row>
        <row r="2980">
          <cell r="E2980" t="str">
            <v>Sud Mennucci</v>
          </cell>
        </row>
        <row r="2981">
          <cell r="E2981" t="str">
            <v>Sumaré</v>
          </cell>
        </row>
        <row r="2982">
          <cell r="E2982" t="str">
            <v>Suzanápolis</v>
          </cell>
        </row>
        <row r="2983">
          <cell r="E2983" t="str">
            <v>Tabapuã</v>
          </cell>
        </row>
        <row r="2984">
          <cell r="E2984" t="str">
            <v>Tabatinga</v>
          </cell>
        </row>
        <row r="2985">
          <cell r="E2985" t="str">
            <v>Taciba</v>
          </cell>
        </row>
        <row r="2986">
          <cell r="E2986" t="str">
            <v>Taguaí</v>
          </cell>
        </row>
        <row r="2987">
          <cell r="E2987" t="str">
            <v>Taiaçu</v>
          </cell>
        </row>
        <row r="2988">
          <cell r="E2988" t="str">
            <v>Taiúva</v>
          </cell>
        </row>
        <row r="2989">
          <cell r="E2989" t="str">
            <v>Tambaú</v>
          </cell>
        </row>
        <row r="2990">
          <cell r="E2990" t="str">
            <v>Tanabi</v>
          </cell>
        </row>
        <row r="2991">
          <cell r="E2991" t="str">
            <v>Tapiraí</v>
          </cell>
        </row>
        <row r="2992">
          <cell r="E2992" t="str">
            <v>Tapiratiba</v>
          </cell>
        </row>
        <row r="2993">
          <cell r="E2993" t="str">
            <v>Taquaral</v>
          </cell>
        </row>
        <row r="2994">
          <cell r="E2994" t="str">
            <v>Taquaritinga</v>
          </cell>
        </row>
        <row r="2995">
          <cell r="E2995" t="str">
            <v>Taquarituba</v>
          </cell>
        </row>
        <row r="2996">
          <cell r="E2996" t="str">
            <v>Taquarivaí</v>
          </cell>
        </row>
        <row r="2997">
          <cell r="E2997" t="str">
            <v>Tarabai</v>
          </cell>
        </row>
        <row r="2998">
          <cell r="E2998" t="str">
            <v>Tarumã</v>
          </cell>
        </row>
        <row r="2999">
          <cell r="E2999" t="str">
            <v>Tatuí</v>
          </cell>
        </row>
        <row r="3000">
          <cell r="E3000" t="str">
            <v>Taubaté</v>
          </cell>
        </row>
        <row r="3001">
          <cell r="E3001" t="str">
            <v>Tejupá</v>
          </cell>
        </row>
        <row r="3002">
          <cell r="E3002" t="str">
            <v>Teodoro Sampaio</v>
          </cell>
        </row>
        <row r="3003">
          <cell r="E3003" t="str">
            <v>Terra Roxa</v>
          </cell>
        </row>
        <row r="3004">
          <cell r="E3004" t="str">
            <v>Tietê</v>
          </cell>
        </row>
        <row r="3005">
          <cell r="E3005" t="str">
            <v>Timburi</v>
          </cell>
        </row>
        <row r="3006">
          <cell r="E3006" t="str">
            <v>Torre de Pedra</v>
          </cell>
        </row>
        <row r="3007">
          <cell r="E3007" t="str">
            <v>Torrinha</v>
          </cell>
        </row>
        <row r="3008">
          <cell r="E3008" t="str">
            <v>Trabiju</v>
          </cell>
        </row>
        <row r="3009">
          <cell r="E3009" t="str">
            <v>Tremembé</v>
          </cell>
        </row>
        <row r="3010">
          <cell r="E3010" t="str">
            <v>Três Fronteiras</v>
          </cell>
        </row>
        <row r="3011">
          <cell r="E3011" t="str">
            <v>Tupã</v>
          </cell>
        </row>
        <row r="3012">
          <cell r="E3012" t="str">
            <v>Tupi Paulista</v>
          </cell>
        </row>
        <row r="3013">
          <cell r="E3013" t="str">
            <v>Turiúba</v>
          </cell>
        </row>
        <row r="3014">
          <cell r="E3014" t="str">
            <v>Turmalina</v>
          </cell>
        </row>
        <row r="3015">
          <cell r="E3015" t="str">
            <v>Ubarana</v>
          </cell>
        </row>
        <row r="3016">
          <cell r="E3016" t="str">
            <v>Ubatuba</v>
          </cell>
        </row>
        <row r="3017">
          <cell r="E3017" t="str">
            <v>Ubirajara</v>
          </cell>
        </row>
        <row r="3018">
          <cell r="E3018" t="str">
            <v>Uchoa</v>
          </cell>
        </row>
        <row r="3019">
          <cell r="E3019" t="str">
            <v>União Paulista</v>
          </cell>
        </row>
        <row r="3020">
          <cell r="E3020" t="str">
            <v>Urânia</v>
          </cell>
        </row>
        <row r="3021">
          <cell r="E3021" t="str">
            <v>Uru</v>
          </cell>
        </row>
        <row r="3022">
          <cell r="E3022" t="str">
            <v>Urupês</v>
          </cell>
        </row>
        <row r="3023">
          <cell r="E3023" t="str">
            <v>Valentim Gentil</v>
          </cell>
        </row>
        <row r="3024">
          <cell r="E3024" t="str">
            <v>Valinhos</v>
          </cell>
        </row>
        <row r="3025">
          <cell r="E3025" t="str">
            <v>Valparaíso</v>
          </cell>
        </row>
        <row r="3026">
          <cell r="E3026" t="str">
            <v>Vargem Grande do Sul</v>
          </cell>
        </row>
        <row r="3027">
          <cell r="E3027" t="str">
            <v>Vera Cruz</v>
          </cell>
        </row>
        <row r="3028">
          <cell r="E3028" t="str">
            <v>Vinhedo</v>
          </cell>
        </row>
        <row r="3029">
          <cell r="E3029" t="str">
            <v>Viradouro</v>
          </cell>
        </row>
        <row r="3030">
          <cell r="E3030" t="str">
            <v>Vista Alegre do Alto</v>
          </cell>
        </row>
        <row r="3031">
          <cell r="E3031" t="str">
            <v>Vitória Brasil</v>
          </cell>
        </row>
        <row r="3032">
          <cell r="E3032" t="str">
            <v>Votorantim</v>
          </cell>
        </row>
        <row r="3033">
          <cell r="E3033" t="str">
            <v>Votuporanga</v>
          </cell>
        </row>
        <row r="3034">
          <cell r="E3034" t="str">
            <v>Zacarias</v>
          </cell>
        </row>
        <row r="3039">
          <cell r="E3039" t="str">
            <v>Abreulândia</v>
          </cell>
        </row>
        <row r="3040">
          <cell r="E3040" t="str">
            <v>Aguiarnópolis</v>
          </cell>
        </row>
        <row r="3041">
          <cell r="E3041" t="str">
            <v>Aliança do Tocantins</v>
          </cell>
        </row>
        <row r="3042">
          <cell r="E3042" t="str">
            <v>Almas</v>
          </cell>
        </row>
        <row r="3043">
          <cell r="E3043" t="str">
            <v>Alvorada</v>
          </cell>
        </row>
        <row r="3044">
          <cell r="E3044" t="str">
            <v>Ananás</v>
          </cell>
        </row>
        <row r="3045">
          <cell r="E3045" t="str">
            <v>Angico</v>
          </cell>
        </row>
        <row r="3046">
          <cell r="E3046" t="str">
            <v>Aparecida do Rio Negro</v>
          </cell>
        </row>
        <row r="3047">
          <cell r="E3047" t="str">
            <v>Aragominas</v>
          </cell>
        </row>
        <row r="3048">
          <cell r="E3048" t="str">
            <v>Araguacema</v>
          </cell>
        </row>
        <row r="3049">
          <cell r="E3049" t="str">
            <v>Araguaçu</v>
          </cell>
        </row>
        <row r="3050">
          <cell r="E3050" t="str">
            <v>Araguaína</v>
          </cell>
        </row>
        <row r="3051">
          <cell r="E3051" t="str">
            <v>Araguanã</v>
          </cell>
        </row>
        <row r="3052">
          <cell r="E3052" t="str">
            <v>Araguatins</v>
          </cell>
        </row>
        <row r="3053">
          <cell r="E3053" t="str">
            <v>Arapoema</v>
          </cell>
        </row>
        <row r="3054">
          <cell r="E3054" t="str">
            <v>Arraias</v>
          </cell>
        </row>
        <row r="3055">
          <cell r="E3055" t="str">
            <v>Augustinópolis</v>
          </cell>
        </row>
        <row r="3056">
          <cell r="E3056" t="str">
            <v>Aurora do Tocantins</v>
          </cell>
        </row>
        <row r="3057">
          <cell r="E3057" t="str">
            <v>Axixá do Tocantins</v>
          </cell>
        </row>
        <row r="3058">
          <cell r="E3058" t="str">
            <v>Babaçulândia</v>
          </cell>
        </row>
        <row r="3059">
          <cell r="E3059" t="str">
            <v>Bandeirantes do Tocantins</v>
          </cell>
        </row>
        <row r="3060">
          <cell r="E3060" t="str">
            <v>Barra do Ouro</v>
          </cell>
        </row>
        <row r="3061">
          <cell r="E3061" t="str">
            <v>Barrolândia</v>
          </cell>
        </row>
        <row r="3062">
          <cell r="E3062" t="str">
            <v>Bernardo Sayão</v>
          </cell>
        </row>
        <row r="3063">
          <cell r="E3063" t="str">
            <v>Bom Jesus do Tocantins</v>
          </cell>
        </row>
        <row r="3064">
          <cell r="E3064" t="str">
            <v>Brasilândia do Tocantins</v>
          </cell>
        </row>
        <row r="3065">
          <cell r="E3065" t="str">
            <v>Brejinho de Nazaré</v>
          </cell>
        </row>
        <row r="3066">
          <cell r="E3066" t="str">
            <v>Buriti do Tocantins</v>
          </cell>
        </row>
        <row r="3067">
          <cell r="E3067" t="str">
            <v>Cachoeirinha</v>
          </cell>
        </row>
        <row r="3068">
          <cell r="E3068" t="str">
            <v>Campos Lindos</v>
          </cell>
        </row>
        <row r="3069">
          <cell r="E3069" t="str">
            <v>Cariri do Tocantins</v>
          </cell>
        </row>
        <row r="3070">
          <cell r="E3070" t="str">
            <v>Carmolândia</v>
          </cell>
        </row>
        <row r="3071">
          <cell r="E3071" t="str">
            <v>Carrasco Bonito</v>
          </cell>
        </row>
        <row r="3072">
          <cell r="E3072" t="str">
            <v>Caseara</v>
          </cell>
        </row>
        <row r="3073">
          <cell r="E3073" t="str">
            <v>Centenário</v>
          </cell>
        </row>
        <row r="3074">
          <cell r="E3074" t="str">
            <v>Chapada da Natividade</v>
          </cell>
        </row>
        <row r="3075">
          <cell r="E3075" t="str">
            <v>Chapada de Areia</v>
          </cell>
        </row>
        <row r="3076">
          <cell r="E3076" t="str">
            <v>Colinas do Tocantins</v>
          </cell>
        </row>
        <row r="3077">
          <cell r="E3077" t="str">
            <v>Colméia</v>
          </cell>
        </row>
        <row r="3078">
          <cell r="E3078" t="str">
            <v>Combinado</v>
          </cell>
        </row>
        <row r="3079">
          <cell r="E3079" t="str">
            <v>Conceição do Tocantins</v>
          </cell>
        </row>
        <row r="3080">
          <cell r="E3080" t="str">
            <v>Couto de Magalhães</v>
          </cell>
        </row>
        <row r="3081">
          <cell r="E3081" t="str">
            <v>Cristalândia</v>
          </cell>
        </row>
        <row r="3082">
          <cell r="E3082" t="str">
            <v>Crixás do Tocantins</v>
          </cell>
        </row>
        <row r="3083">
          <cell r="E3083" t="str">
            <v>Darcinópolis</v>
          </cell>
        </row>
        <row r="3084">
          <cell r="E3084" t="str">
            <v>Dianópolis</v>
          </cell>
        </row>
        <row r="3085">
          <cell r="E3085" t="str">
            <v>Divinópolis do Tocantins</v>
          </cell>
        </row>
        <row r="3086">
          <cell r="E3086" t="str">
            <v>Dois Irmãos do Tocantins</v>
          </cell>
        </row>
        <row r="3087">
          <cell r="E3087" t="str">
            <v>Dueré</v>
          </cell>
        </row>
        <row r="3088">
          <cell r="E3088" t="str">
            <v>Esperantina</v>
          </cell>
        </row>
        <row r="3089">
          <cell r="E3089" t="str">
            <v>Fátima</v>
          </cell>
        </row>
        <row r="3090">
          <cell r="E3090" t="str">
            <v>Figueirópolis</v>
          </cell>
        </row>
        <row r="3091">
          <cell r="E3091" t="str">
            <v>Filadélfia</v>
          </cell>
        </row>
        <row r="3092">
          <cell r="E3092" t="str">
            <v>Formoso do Araguaia</v>
          </cell>
        </row>
        <row r="3093">
          <cell r="E3093" t="str">
            <v>Fortaleza do Tabocão</v>
          </cell>
        </row>
        <row r="3094">
          <cell r="E3094" t="str">
            <v>Goianorte</v>
          </cell>
        </row>
        <row r="3095">
          <cell r="E3095" t="str">
            <v>Goiatins</v>
          </cell>
        </row>
        <row r="3096">
          <cell r="E3096" t="str">
            <v>Guaraí</v>
          </cell>
        </row>
        <row r="3097">
          <cell r="E3097" t="str">
            <v>Gurupi</v>
          </cell>
        </row>
        <row r="3098">
          <cell r="E3098" t="str">
            <v>Ipueiras</v>
          </cell>
        </row>
        <row r="3099">
          <cell r="E3099" t="str">
            <v>Itacajá</v>
          </cell>
        </row>
        <row r="3100">
          <cell r="E3100" t="str">
            <v>Itaguatins</v>
          </cell>
        </row>
        <row r="3101">
          <cell r="E3101" t="str">
            <v>Itapiratins</v>
          </cell>
        </row>
        <row r="3102">
          <cell r="E3102" t="str">
            <v>Itaporã do Tocantins</v>
          </cell>
        </row>
        <row r="3103">
          <cell r="E3103" t="str">
            <v>Jaú do Tocantins</v>
          </cell>
        </row>
        <row r="3104">
          <cell r="E3104" t="str">
            <v>Juarina</v>
          </cell>
        </row>
        <row r="3105">
          <cell r="E3105" t="str">
            <v>Lagoa da Confusão</v>
          </cell>
        </row>
        <row r="3106">
          <cell r="E3106" t="str">
            <v>Lagoa do Tocantins</v>
          </cell>
        </row>
        <row r="3107">
          <cell r="E3107" t="str">
            <v>Lajeado</v>
          </cell>
        </row>
        <row r="3108">
          <cell r="E3108" t="str">
            <v>Lavandeira</v>
          </cell>
        </row>
        <row r="3109">
          <cell r="E3109" t="str">
            <v>Lizarda</v>
          </cell>
        </row>
        <row r="3110">
          <cell r="E3110" t="str">
            <v>Luzinópolis</v>
          </cell>
        </row>
        <row r="3111">
          <cell r="E3111" t="str">
            <v>Marianópolis do Tocantins</v>
          </cell>
        </row>
        <row r="3112">
          <cell r="E3112" t="str">
            <v>Mateiros</v>
          </cell>
        </row>
        <row r="3113">
          <cell r="E3113" t="str">
            <v>Maurilândia do Tocantins</v>
          </cell>
        </row>
        <row r="3114">
          <cell r="E3114" t="str">
            <v>Miracema do Tocantins</v>
          </cell>
        </row>
        <row r="3115">
          <cell r="E3115" t="str">
            <v>Miranorte</v>
          </cell>
        </row>
        <row r="3116">
          <cell r="E3116" t="str">
            <v>Monte do Carmo</v>
          </cell>
        </row>
        <row r="3117">
          <cell r="E3117" t="str">
            <v>Monte Santo do Tocantins</v>
          </cell>
        </row>
        <row r="3118">
          <cell r="E3118" t="str">
            <v>Muricilândia</v>
          </cell>
        </row>
        <row r="3119">
          <cell r="E3119" t="str">
            <v>Natividade</v>
          </cell>
        </row>
        <row r="3120">
          <cell r="E3120" t="str">
            <v>Nazaré</v>
          </cell>
        </row>
        <row r="3121">
          <cell r="E3121" t="str">
            <v>Nova Olinda</v>
          </cell>
        </row>
        <row r="3122">
          <cell r="E3122" t="str">
            <v>Nova Rosalândia</v>
          </cell>
        </row>
        <row r="3123">
          <cell r="E3123" t="str">
            <v>Novo Acordo</v>
          </cell>
        </row>
        <row r="3124">
          <cell r="E3124" t="str">
            <v>Novo Alegre</v>
          </cell>
        </row>
        <row r="3125">
          <cell r="E3125" t="str">
            <v>Novo Jardim</v>
          </cell>
        </row>
        <row r="3126">
          <cell r="E3126" t="str">
            <v>Oliveira de Fátima</v>
          </cell>
        </row>
        <row r="3127">
          <cell r="E3127" t="str">
            <v>Palmas</v>
          </cell>
        </row>
        <row r="3128">
          <cell r="E3128" t="str">
            <v>Palmeirante</v>
          </cell>
        </row>
        <row r="3129">
          <cell r="E3129" t="str">
            <v>Palmeiras do Tocantins</v>
          </cell>
        </row>
        <row r="3130">
          <cell r="E3130" t="str">
            <v>Palmeirópolis</v>
          </cell>
        </row>
        <row r="3131">
          <cell r="E3131" t="str">
            <v>Paraíso do Tocantins</v>
          </cell>
        </row>
        <row r="3132">
          <cell r="E3132" t="str">
            <v>Paranã</v>
          </cell>
        </row>
        <row r="3133">
          <cell r="E3133" t="str">
            <v>Pau D'Arco</v>
          </cell>
        </row>
        <row r="3134">
          <cell r="E3134" t="str">
            <v>Pedro Afonso</v>
          </cell>
        </row>
        <row r="3135">
          <cell r="E3135" t="str">
            <v>Peixe</v>
          </cell>
        </row>
        <row r="3136">
          <cell r="E3136" t="str">
            <v>Pequizeiro</v>
          </cell>
        </row>
        <row r="3137">
          <cell r="E3137" t="str">
            <v>Pindorama do Tocantins</v>
          </cell>
        </row>
        <row r="3138">
          <cell r="E3138" t="str">
            <v>Piraquê</v>
          </cell>
        </row>
        <row r="3139">
          <cell r="E3139" t="str">
            <v>Pium</v>
          </cell>
        </row>
        <row r="3140">
          <cell r="E3140" t="str">
            <v>Ponte Alta do Bom Jesus</v>
          </cell>
        </row>
        <row r="3141">
          <cell r="E3141" t="str">
            <v>Ponte Alta do Tocantins</v>
          </cell>
        </row>
        <row r="3142">
          <cell r="E3142" t="str">
            <v>Porto Alegre do Tocantins</v>
          </cell>
        </row>
        <row r="3143">
          <cell r="E3143" t="str">
            <v>Porto Nacional</v>
          </cell>
        </row>
        <row r="3144">
          <cell r="E3144" t="str">
            <v>Praia Norte</v>
          </cell>
        </row>
        <row r="3145">
          <cell r="E3145" t="str">
            <v>Presidente Kennedy</v>
          </cell>
        </row>
        <row r="3146">
          <cell r="E3146" t="str">
            <v>Pugmil</v>
          </cell>
        </row>
        <row r="3147">
          <cell r="E3147" t="str">
            <v>Recursolândia</v>
          </cell>
        </row>
        <row r="3148">
          <cell r="E3148" t="str">
            <v>Riachinho</v>
          </cell>
        </row>
        <row r="3149">
          <cell r="E3149" t="str">
            <v>Rio da Conceição</v>
          </cell>
        </row>
        <row r="3150">
          <cell r="E3150" t="str">
            <v>Rio dos Bois</v>
          </cell>
        </row>
        <row r="3151">
          <cell r="E3151" t="str">
            <v>Rio Sono</v>
          </cell>
        </row>
        <row r="3152">
          <cell r="E3152" t="str">
            <v>Sampaio</v>
          </cell>
        </row>
        <row r="3153">
          <cell r="E3153" t="str">
            <v>Sandolândia</v>
          </cell>
        </row>
        <row r="3154">
          <cell r="E3154" t="str">
            <v>Santa Fé do Araguaia</v>
          </cell>
        </row>
        <row r="3155">
          <cell r="E3155" t="str">
            <v>Santa Maria do Tocantins</v>
          </cell>
        </row>
        <row r="3156">
          <cell r="E3156" t="str">
            <v>Santa Rita do Tocantins</v>
          </cell>
        </row>
        <row r="3157">
          <cell r="E3157" t="str">
            <v>Santa Rosa do Tocantins</v>
          </cell>
        </row>
        <row r="3158">
          <cell r="E3158" t="str">
            <v>Santa Tereza do Tocantins</v>
          </cell>
        </row>
        <row r="3159">
          <cell r="E3159" t="str">
            <v>Santa Terezinha do Tocantins</v>
          </cell>
        </row>
        <row r="3160">
          <cell r="E3160" t="str">
            <v>São Bento do Tocantins</v>
          </cell>
        </row>
        <row r="3161">
          <cell r="E3161" t="str">
            <v>São Félix do Tocantins</v>
          </cell>
        </row>
        <row r="3162">
          <cell r="E3162" t="str">
            <v>São Miguel do Tocantins</v>
          </cell>
        </row>
        <row r="3163">
          <cell r="E3163" t="str">
            <v>São Salvador do Tocantins</v>
          </cell>
        </row>
        <row r="3164">
          <cell r="E3164" t="str">
            <v>São Sebastião do Tocantins</v>
          </cell>
        </row>
        <row r="3165">
          <cell r="E3165" t="str">
            <v>São Valério da Natividade</v>
          </cell>
        </row>
        <row r="3166">
          <cell r="E3166" t="str">
            <v>Silvanópolis</v>
          </cell>
        </row>
        <row r="3167">
          <cell r="E3167" t="str">
            <v>Sítio Novo do Tocantins</v>
          </cell>
        </row>
        <row r="3168">
          <cell r="E3168" t="str">
            <v>Sucupira</v>
          </cell>
        </row>
        <row r="3169">
          <cell r="E3169" t="str">
            <v>Taguatinga</v>
          </cell>
        </row>
        <row r="3170">
          <cell r="E3170" t="str">
            <v>Taipas do Tocantins</v>
          </cell>
        </row>
        <row r="3171">
          <cell r="E3171" t="str">
            <v>Talismã</v>
          </cell>
        </row>
        <row r="3172">
          <cell r="E3172" t="str">
            <v>Tocantínia</v>
          </cell>
        </row>
        <row r="3173">
          <cell r="E3173" t="str">
            <v>Tocantinópolis</v>
          </cell>
        </row>
        <row r="3174">
          <cell r="E3174" t="str">
            <v>Tupirama</v>
          </cell>
        </row>
        <row r="3175">
          <cell r="E3175" t="str">
            <v>Tupiratins</v>
          </cell>
        </row>
        <row r="3176">
          <cell r="E3176" t="str">
            <v>Wanderlândia</v>
          </cell>
        </row>
        <row r="3177">
          <cell r="E3177" t="str">
            <v>Xambioá</v>
          </cell>
        </row>
      </sheetData>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DEREÇOS"/>
      <sheetName val="SP_Node Report"/>
      <sheetName val="RJ_Node Report"/>
      <sheetName val="RS_Node Report"/>
      <sheetName val="CADASTRO"/>
      <sheetName val="CAPA"/>
      <sheetName val="DETALHAMENTO DA COBERTURA"/>
      <sheetName val="MAPA LOCALIZAÇÃO"/>
      <sheetName val="ESQUEMA WCDMA"/>
      <sheetName val="CONFIGURAÇÃO"/>
      <sheetName val="FOTOS"/>
      <sheetName val="MAPA COBERTURA_Individual RSCP"/>
      <sheetName val="MAPA COBERTURA_Composta RSCP"/>
      <sheetName val="MAPA COBERTURA_Composta EcIo"/>
      <sheetName val="TESTE PROPAGAÇÃO_Drive Test"/>
      <sheetName val="SP_Node_Report"/>
      <sheetName val="RJ_Node_Report"/>
      <sheetName val="RS_Node_Report"/>
      <sheetName val="DETALHAMENTO_DA_COBERTURA"/>
      <sheetName val="MAPA_LOCALIZAÇÃO"/>
      <sheetName val="ESQUEMA_WCDMA"/>
      <sheetName val="MAPA_COBERTURA_Individual_RSCP"/>
      <sheetName val="MAPA_COBERTURA_Composta_RSCP"/>
      <sheetName val="MAPA_COBERTURA_Composta_EcIo"/>
      <sheetName val="TESTE_PROPAGAÇÃO_Drive_Test"/>
    </sheetNames>
    <sheetDataSet>
      <sheetData sheetId="0"/>
      <sheetData sheetId="1"/>
      <sheetData sheetId="2"/>
      <sheetData sheetId="3"/>
      <sheetData sheetId="4">
        <row r="3">
          <cell r="AG3">
            <v>3106</v>
          </cell>
          <cell r="AK3" t="str">
            <v>HS-TX-60/RAX-B128</v>
          </cell>
        </row>
        <row r="4">
          <cell r="AG4">
            <v>3206</v>
          </cell>
        </row>
        <row r="5">
          <cell r="AG5">
            <v>3303</v>
          </cell>
        </row>
        <row r="29">
          <cell r="B29" t="str">
            <v>COBERTURA</v>
          </cell>
        </row>
        <row r="30">
          <cell r="B30" t="str">
            <v>QUALIDADE</v>
          </cell>
        </row>
        <row r="31">
          <cell r="B31" t="str">
            <v>RODOVIA</v>
          </cell>
        </row>
        <row r="32">
          <cell r="B32" t="str">
            <v>CHANGE OUT</v>
          </cell>
        </row>
        <row r="69">
          <cell r="A69" t="str">
            <v>UMTS</v>
          </cell>
        </row>
        <row r="70">
          <cell r="A70" t="str">
            <v>GSM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DASTRO"/>
      <sheetName val="CAPA"/>
      <sheetName val="DETALHAMENTO DA COBERTURA"/>
      <sheetName val="MAPA LOCALIZAÇÃO"/>
      <sheetName val="CONFIGURAÇÃO_SR"/>
      <sheetName val="FOTOS_Cand.A"/>
      <sheetName val="MAPA COBERTURA_Composta RSCP"/>
      <sheetName val="MAPA COBERTURA_Composta EcIo"/>
      <sheetName val="TESTE PROPAGAÇÃO_Drive Test"/>
      <sheetName val="DETALHAMENTO_DA_COBERTURA"/>
      <sheetName val="MAPA_LOCALIZAÇÃO"/>
      <sheetName val="FOTOS_Cand_A"/>
      <sheetName val="MAPA_COBERTURA_Composta_RSCP"/>
      <sheetName val="MAPA_COBERTURA_Composta_EcIo"/>
      <sheetName val="TESTE_PROPAGAÇÃO_Drive_Test"/>
    </sheetNames>
    <sheetDataSet>
      <sheetData sheetId="0">
        <row r="3">
          <cell r="AB3" t="str">
            <v>HUA301?</v>
          </cell>
          <cell r="AC3" t="str">
            <v>N/A</v>
          </cell>
          <cell r="AE3">
            <v>46</v>
          </cell>
          <cell r="AF3" t="str">
            <v>BBU3806C</v>
          </cell>
        </row>
        <row r="4">
          <cell r="AB4" t="str">
            <v>HUA302?</v>
          </cell>
          <cell r="AC4" t="str">
            <v>a</v>
          </cell>
          <cell r="AE4">
            <v>46</v>
          </cell>
        </row>
        <row r="5">
          <cell r="AB5" t="str">
            <v>HUA303?</v>
          </cell>
          <cell r="AC5" t="str">
            <v>b</v>
          </cell>
          <cell r="AE5">
            <v>43</v>
          </cell>
        </row>
        <row r="52">
          <cell r="L52" t="str">
            <v>RNC_SPM_01</v>
          </cell>
        </row>
        <row r="53">
          <cell r="L53" t="str">
            <v>RNC_SPM_02</v>
          </cell>
        </row>
        <row r="54">
          <cell r="L54" t="str">
            <v>RNC_SPM_03</v>
          </cell>
        </row>
        <row r="55">
          <cell r="L55" t="str">
            <v>RNC_SPM_04</v>
          </cell>
        </row>
        <row r="56">
          <cell r="L56" t="str">
            <v>RNC_SPM_05</v>
          </cell>
        </row>
      </sheetData>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DASTRO_FIGURAS"/>
      <sheetName val="CADASTRO"/>
      <sheetName val="RANKING QUALIFICAÇÃO"/>
      <sheetName val="CONFIGURAÇÃO_F"/>
      <sheetName val="FOTOS_F"/>
      <sheetName val="SOLUÇÃO_ESQUEMA GSM_F"/>
      <sheetName val="OBSTRUÇÃO"/>
      <sheetName val="RANKING_QUALIFICAÇÃO"/>
      <sheetName val="SOLUÇÃO_ESQUEMA_GSM_F"/>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URAÇÃO_TDMA"/>
      <sheetName val="Soluções GSM"/>
      <sheetName val="ESQUEMA_GSM"/>
      <sheetName val="OBSTRUÇÕES"/>
      <sheetName val="2 CANDIDATOS"/>
      <sheetName val="FOTOS"/>
      <sheetName val="CADASTRO"/>
      <sheetName val="Soluções_GSM"/>
      <sheetName val="2_CANDIDATOS"/>
      <sheetName val="CONFIGURAÇÃO_F"/>
    </sheetNames>
    <sheetDataSet>
      <sheetData sheetId="0"/>
      <sheetData sheetId="1"/>
      <sheetData sheetId="2"/>
      <sheetData sheetId="3"/>
      <sheetData sheetId="4"/>
      <sheetData sheetId="5"/>
      <sheetData sheetId="6">
        <row r="3">
          <cell r="C3" t="str">
            <v>SIEMENS</v>
          </cell>
        </row>
        <row r="4">
          <cell r="C4" t="str">
            <v>ERICSSON</v>
          </cell>
        </row>
        <row r="5">
          <cell r="C5" t="str">
            <v>ALCATEL</v>
          </cell>
        </row>
      </sheetData>
      <sheetData sheetId="7" refreshError="1"/>
      <sheetData sheetId="8" refreshError="1"/>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sto"/>
      <sheetName val="CAPA"/>
      <sheetName val="Localização do Site"/>
      <sheetName val="Survey Doador"/>
      <sheetName val="Poligonal"/>
      <sheetName val="Localização das antenas P5"/>
      <sheetName val="Localização das antenas P4"/>
      <sheetName val="Localização das antenas P3"/>
      <sheetName val="Localização das antenas P2"/>
      <sheetName val="Localização das antenas P1"/>
      <sheetName val="Localização das antenas T"/>
      <sheetName val="Local das antenas Bibliot P2"/>
      <sheetName val="Local das antenas Bibliot P1"/>
      <sheetName val="Local das antenas Bibliot T"/>
      <sheetName val="Local das antenas Bibliot 1S"/>
      <sheetName val="Local das antenas Bibliot 2S"/>
      <sheetName val="DIAGRAMA UNIFILAR"/>
      <sheetName val="CONFIGURAÇÃO_INDOOR_REPETIDOR"/>
      <sheetName val="CONFIGURAÇÃO_INDOOR_SETOR 2"/>
      <sheetName val="CONFIGURAÇÃO_INDOOR_SETOR 3"/>
      <sheetName val="Prop Ant 01"/>
      <sheetName val="Prop Ant 02"/>
      <sheetName val="Prop Ant 03"/>
      <sheetName val="Prop Ant 04"/>
      <sheetName val="Prop Ant 05"/>
      <sheetName val="Prop Ant 06"/>
      <sheetName val="Prop Ant 07"/>
      <sheetName val="Prop Ant 08"/>
      <sheetName val="Prop Ant 09"/>
      <sheetName val="Prop Ant 10"/>
      <sheetName val="Prop Ant 11"/>
      <sheetName val="Prop Ant 12"/>
      <sheetName val="Prop Ant 13"/>
      <sheetName val="Prop Ant 14"/>
      <sheetName val="Prop Ant 15"/>
      <sheetName val="Prop Ant 16"/>
      <sheetName val="Prop Ant 17"/>
      <sheetName val="Prop Ant 18"/>
      <sheetName val="Prop Ant 19"/>
      <sheetName val="Prop Ant 20"/>
      <sheetName val="Prop Ant 21"/>
      <sheetName val="CALCULO ERP POR ANTENA"/>
      <sheetName val="CALCULO POR ANTENA SETOR 2"/>
      <sheetName val="CALCULO POR ANTENA SETOR 3"/>
      <sheetName val="CADASTRO"/>
      <sheetName val="CONFIGURAÇÃO_Repetidor"/>
      <sheetName val="FOTOS"/>
      <sheetName val="Poligonal Pré"/>
      <sheetName val="Localização_do_Site"/>
      <sheetName val="Survey_Doador"/>
      <sheetName val="Localização_das_antenas_P5"/>
      <sheetName val="Localização_das_antenas_P4"/>
      <sheetName val="Localização_das_antenas_P3"/>
      <sheetName val="Localização_das_antenas_P2"/>
      <sheetName val="Localização_das_antenas_P1"/>
      <sheetName val="Localização_das_antenas_T"/>
      <sheetName val="Local_das_antenas_Bibliot_P2"/>
      <sheetName val="Local_das_antenas_Bibliot_P1"/>
      <sheetName val="Local_das_antenas_Bibliot_T"/>
      <sheetName val="Local_das_antenas_Bibliot_1S"/>
      <sheetName val="Local_das_antenas_Bibliot_2S"/>
      <sheetName val="DIAGRAMA_UNIFILAR"/>
      <sheetName val="CONFIGURAÇÃO_INDOOR_SETOR_2"/>
      <sheetName val="CONFIGURAÇÃO_INDOOR_SETOR_3"/>
      <sheetName val="Prop_Ant_01"/>
      <sheetName val="Prop_Ant_02"/>
      <sheetName val="Prop_Ant_03"/>
      <sheetName val="Prop_Ant_04"/>
      <sheetName val="Prop_Ant_05"/>
      <sheetName val="Prop_Ant_06"/>
      <sheetName val="Prop_Ant_07"/>
      <sheetName val="Prop_Ant_08"/>
      <sheetName val="Prop_Ant_09"/>
      <sheetName val="Prop_Ant_10"/>
      <sheetName val="Prop_Ant_11"/>
      <sheetName val="Prop_Ant_12"/>
      <sheetName val="Prop_Ant_13"/>
      <sheetName val="Prop_Ant_14"/>
      <sheetName val="Prop_Ant_15"/>
      <sheetName val="Prop_Ant_16"/>
      <sheetName val="Prop_Ant_17"/>
      <sheetName val="Prop_Ant_18"/>
      <sheetName val="Prop_Ant_19"/>
      <sheetName val="Prop_Ant_20"/>
      <sheetName val="Prop_Ant_21"/>
      <sheetName val="CALCULO_ERP_POR_ANTENA"/>
      <sheetName val="CALCULO_POR_ANTENA_SETOR_2"/>
      <sheetName val="CALCULO_POR_ANTENA_SETOR_3"/>
      <sheetName val="Poligonal_Pr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lan_MMOO_LH.xlsx"/>
      <sheetName val="MasterPlan_MMOO_LH"/>
      <sheetName val="Link_charts"/>
      <sheetName val="Site_charts"/>
      <sheetName val="GAP ANAYLIS"/>
      <sheetName val="MASTER PLAN"/>
      <sheetName val="80_LINKS"/>
      <sheetName val="83_SITES"/>
      <sheetName val="keys"/>
      <sheetName val="xls_GE"/>
    </sheetNames>
    <sheetDataSet>
      <sheetData sheetId="0" refreshError="1"/>
      <sheetData sheetId="1" refreshError="1"/>
      <sheetData sheetId="2" refreshError="1"/>
      <sheetData sheetId="3" refreshError="1"/>
      <sheetData sheetId="4" refreshError="1"/>
      <sheetData sheetId="5">
        <row r="2">
          <cell r="T2" t="str">
            <v>http://maps.google.com/mapfiles/kml/shapes/placemark_circle.png</v>
          </cell>
        </row>
      </sheetData>
      <sheetData sheetId="6"/>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DASTRO_FIGURAS"/>
      <sheetName val="CADASTRO"/>
      <sheetName val="RANKING QUALIFICAÇÃO"/>
      <sheetName val="CONFIGURAÇÃO_A"/>
      <sheetName val="FOTOS_Cand.A"/>
      <sheetName val="SOLUÇÃO_ESQUEMA UMTS Cand A"/>
      <sheetName val="OBSTRUÇÃO"/>
      <sheetName val="CONFIGURAÇÃO_B"/>
      <sheetName val="FOTOS_Cand.B"/>
      <sheetName val="SOLUÇÃO_ESQUEMA UMTS Cand B"/>
      <sheetName val="RANKING_QUALIFICAÇÃO"/>
      <sheetName val="FOTOS_Cand_A"/>
      <sheetName val="SOLUÇÃO_ESQUEMA_UMTS_Cand_A"/>
      <sheetName val="FOTOS_Cand_B"/>
      <sheetName val="SOLUÇÃO_ESQUEMA_UMTS_Cand_B"/>
    </sheetNames>
    <sheetDataSet>
      <sheetData sheetId="0" refreshError="1"/>
      <sheetData sheetId="1">
        <row r="4">
          <cell r="C4" t="str">
            <v>ERICSSON</v>
          </cell>
        </row>
        <row r="5">
          <cell r="C5" t="str">
            <v>HUAWEI</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DASTRO"/>
      <sheetName val="CAPA"/>
      <sheetName val="CONFIGURAÇÃO_BTS"/>
      <sheetName val="CONFIGURAÇÃO_INDOOR"/>
      <sheetName val="FOTOS"/>
      <sheetName val="DIAGRAMA UNIFILAR"/>
      <sheetName val="Walk-Test GSM"/>
      <sheetName val="Localização das antenas"/>
      <sheetName val="TESTE PROPAGAÇÃO"/>
      <sheetName val="MAPA COBERTURA"/>
      <sheetName val="VSWR"/>
      <sheetName val="DIAGRAMA_UNIFILAR"/>
      <sheetName val="Walk-Test_GSM"/>
      <sheetName val="Localização_das_antenas"/>
      <sheetName val="TESTE_PROPAGAÇÃO"/>
      <sheetName val="MAPA_COBERTURA"/>
    </sheetNames>
    <sheetDataSet>
      <sheetData sheetId="0">
        <row r="28">
          <cell r="C28" t="str">
            <v>SR</v>
          </cell>
        </row>
        <row r="29">
          <cell r="C29" t="str">
            <v>A</v>
          </cell>
        </row>
        <row r="30">
          <cell r="C30" t="str">
            <v>B</v>
          </cell>
        </row>
        <row r="31">
          <cell r="C31" t="str">
            <v>C</v>
          </cell>
        </row>
        <row r="32">
          <cell r="C32" t="str">
            <v>D</v>
          </cell>
        </row>
        <row r="33">
          <cell r="C33" t="str">
            <v>E</v>
          </cell>
        </row>
        <row r="34">
          <cell r="C34" t="str">
            <v>F</v>
          </cell>
        </row>
        <row r="35">
          <cell r="C35" t="str">
            <v>G</v>
          </cell>
        </row>
        <row r="36">
          <cell r="C36" t="str">
            <v>H</v>
          </cell>
        </row>
        <row r="37">
          <cell r="C37" t="str">
            <v>I</v>
          </cell>
        </row>
        <row r="38">
          <cell r="C38" t="str">
            <v>J</v>
          </cell>
        </row>
        <row r="39">
          <cell r="C39" t="str">
            <v>K</v>
          </cell>
        </row>
        <row r="40">
          <cell r="C40" t="str">
            <v>L</v>
          </cell>
        </row>
        <row r="41">
          <cell r="C41" t="str">
            <v>M</v>
          </cell>
        </row>
        <row r="42">
          <cell r="C42" t="str">
            <v>N</v>
          </cell>
        </row>
        <row r="43">
          <cell r="C43" t="str">
            <v>Indoor</v>
          </cell>
        </row>
      </sheetData>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ujo"/>
      <sheetName val="Proyectados"/>
      <sheetName val="ReporteSemanal"/>
      <sheetName val="Desarrollo Tablas"/>
      <sheetName val="Torre begonias"/>
      <sheetName val="Amador Merino"/>
      <sheetName val="Sheet4"/>
      <sheetName val="TABLAS"/>
      <sheetName val="Sheet3"/>
      <sheetName val="MW"/>
      <sheetName val="BYA"/>
      <sheetName val="ByA 2"/>
      <sheetName val="Sheet7"/>
      <sheetName val="Sheet8"/>
    </sheetNames>
    <sheetDataSet>
      <sheetData sheetId="0"/>
      <sheetData sheetId="1">
        <row r="7">
          <cell r="C7" t="str">
            <v>ID_PROYECTO</v>
          </cell>
        </row>
      </sheetData>
      <sheetData sheetId="2"/>
      <sheetData sheetId="3"/>
      <sheetData sheetId="4"/>
      <sheetData sheetId="5"/>
      <sheetData sheetId="6"/>
      <sheetData sheetId="7">
        <row r="2">
          <cell r="D2" t="str">
            <v>Validación económica</v>
          </cell>
          <cell r="E2" t="str">
            <v>Delivery</v>
          </cell>
          <cell r="F2" t="str">
            <v>TSS Far End</v>
          </cell>
          <cell r="G2" t="str">
            <v>En proceso</v>
          </cell>
        </row>
        <row r="3">
          <cell r="D3" t="str">
            <v>Implementación</v>
          </cell>
          <cell r="E3" t="str">
            <v>Implementación</v>
          </cell>
          <cell r="F3" t="str">
            <v>Delivery</v>
          </cell>
          <cell r="G3" t="str">
            <v>1 Sector en servicio</v>
          </cell>
        </row>
        <row r="4">
          <cell r="D4" t="str">
            <v xml:space="preserve">En servicio parcial </v>
          </cell>
          <cell r="E4" t="str">
            <v>Comisionamiento e integración</v>
          </cell>
          <cell r="F4" t="str">
            <v>Implementación del enlace</v>
          </cell>
          <cell r="G4" t="str">
            <v>2 Sector en servicio</v>
          </cell>
        </row>
        <row r="5">
          <cell r="D5" t="str">
            <v>En servicio</v>
          </cell>
          <cell r="F5" t="str">
            <v>Alineamiento</v>
          </cell>
          <cell r="G5" t="str">
            <v>3 Sector en servicio</v>
          </cell>
        </row>
        <row r="6">
          <cell r="F6" t="str">
            <v>Integración</v>
          </cell>
          <cell r="G6" t="str">
            <v>4 Sector en servicio</v>
          </cell>
        </row>
        <row r="7">
          <cell r="G7" t="str">
            <v>5 Sector en servicio</v>
          </cell>
        </row>
        <row r="8">
          <cell r="G8" t="str">
            <v>6 Sector en servicio</v>
          </cell>
        </row>
        <row r="9">
          <cell r="G9" t="str">
            <v>Concluido</v>
          </cell>
        </row>
      </sheetData>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
      <sheetName val="INPUT"/>
      <sheetName val="Oi li"/>
      <sheetName val="OUTPUT"/>
      <sheetName val="Customer Output"/>
      <sheetName val="Compact Input"/>
      <sheetName val="Compact Output"/>
      <sheetName val="Comp. Cust. Output"/>
      <sheetName val="OI list"/>
      <sheetName val="Oi_li"/>
      <sheetName val="Customer_Output"/>
      <sheetName val="Compact_Input"/>
      <sheetName val="Compact_Output"/>
      <sheetName val="Comp__Cust__Output"/>
      <sheetName val="OI_list"/>
      <sheetName val="CADASTRO"/>
      <sheetName val="Ficha de Proyecto"/>
      <sheetName val="EQP"/>
      <sheetName val="DISCOUNT"/>
      <sheetName val="GRAFICOS BSC alex"/>
      <sheetName val="Network assumptions"/>
      <sheetName val="Parameters"/>
      <sheetName val="SERVICIOS"/>
      <sheetName val="MD5500"/>
      <sheetName val="Tarifas Médias - Receitas"/>
      <sheetName val="Tarifas Medias - Custos"/>
      <sheetName val="Premissas"/>
      <sheetName val="Tarifas Detalhe"/>
      <sheetName val="PO_Control"/>
      <sheetName val="Listings"/>
      <sheetName val="TS"/>
      <sheetName val="工具配置"/>
      <sheetName val="AR"/>
      <sheetName val="Fatores"/>
      <sheetName val="SUMMARY"/>
      <sheetName val="PB 2006"/>
      <sheetName val="Main Sheet"/>
      <sheetName val="Input Pricing"/>
      <sheetName val="BQ MW 031205 - VALUES"/>
      <sheetName val="Constants"/>
    </sheetNames>
    <sheetDataSet>
      <sheetData sheetId="0">
        <row r="13">
          <cell r="B13">
            <v>3</v>
          </cell>
        </row>
      </sheetData>
      <sheetData sheetId="1" refreshError="1">
        <row r="13">
          <cell r="B13">
            <v>3</v>
          </cell>
        </row>
      </sheetData>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STEMA IRRADIANTE"/>
      <sheetName val="CADASTRO"/>
      <sheetName val="CAPA"/>
      <sheetName val="CONFIGURAÇÃO FINAL"/>
      <sheetName val="FOTOS"/>
      <sheetName val="SISTEMA_IRRADIANTE"/>
      <sheetName val="CONFIGURAÇÃO_FINAL"/>
      <sheetName val="INPUT"/>
    </sheetNames>
    <sheetDataSet>
      <sheetData sheetId="0"/>
      <sheetData sheetId="1" refreshError="1">
        <row r="62">
          <cell r="B62" t="str">
            <v>SIM</v>
          </cell>
        </row>
        <row r="63">
          <cell r="B63" t="str">
            <v>NÃO</v>
          </cell>
        </row>
      </sheetData>
      <sheetData sheetId="2"/>
      <sheetData sheetId="3"/>
      <sheetData sheetId="4"/>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Mate 1"/>
      <sheetName val="Mate 2"/>
      <sheetName val="Traffic Analysis"/>
      <sheetName val="Sizing Questions"/>
      <sheetName val="Input"/>
      <sheetName val="Summary"/>
      <sheetName val="Phase 1"/>
      <sheetName val="Phase 2"/>
      <sheetName val="Phase 3"/>
      <sheetName val="Phase 4"/>
      <sheetName val="Main"/>
      <sheetName val="HLR cost"/>
      <sheetName val="AC cost"/>
      <sheetName val="PDS cost"/>
      <sheetName val="Links"/>
      <sheetName val="Disk"/>
      <sheetName val="Explanations"/>
      <sheetName val="Mate_1"/>
      <sheetName val="Mate_2"/>
      <sheetName val="Traffic_Analysis"/>
      <sheetName val="Sizing_Questions"/>
      <sheetName val="Phase_1"/>
      <sheetName val="Phase_2"/>
      <sheetName val="Phase_3"/>
      <sheetName val="Phase_4"/>
      <sheetName val="HLR_cost"/>
      <sheetName val="AC_cost"/>
      <sheetName val="PDS_cost"/>
      <sheetName val="CADASTRO"/>
      <sheetName val="T4-1"/>
      <sheetName val="Dados Básicos"/>
      <sheetName val="Price List"/>
      <sheetName val="3. Customer prices"/>
      <sheetName val="Plan1"/>
      <sheetName val="Plano de Trabalho"/>
      <sheetName val="Hoja Seguimiento"/>
      <sheetName val="CDMA"/>
      <sheetName val="MSH11CP Forn."/>
      <sheetName val="SMA14CP"/>
      <sheetName val="MSH41C"/>
      <sheetName val="MSH51C "/>
      <sheetName val="MSH53C"/>
      <sheetName val="MSH63 "/>
      <sheetName val="MSH86"/>
      <sheetName val="SMA14C_14"/>
      <sheetName val="SMA16"/>
      <sheetName val="Input Pricing"/>
      <sheetName val="HLR capacity planning1"/>
      <sheetName val="HW-SW Support"/>
      <sheetName val="Alcatel Final RFQ"/>
      <sheetName val="Input Parameters"/>
      <sheetName val="HP Approval+References"/>
    </sheetNames>
    <sheetDataSet>
      <sheetData sheetId="0" refreshError="1"/>
      <sheetData sheetId="1" refreshError="1"/>
      <sheetData sheetId="2" refreshError="1"/>
      <sheetData sheetId="3" refreshError="1"/>
      <sheetData sheetId="4" refreshError="1"/>
      <sheetData sheetId="5" refreshError="1">
        <row r="10">
          <cell r="D10">
            <v>0</v>
          </cell>
        </row>
        <row r="11">
          <cell r="C11">
            <v>0</v>
          </cell>
          <cell r="D11">
            <v>0</v>
          </cell>
        </row>
        <row r="12">
          <cell r="C12">
            <v>0</v>
          </cell>
          <cell r="D12">
            <v>0</v>
          </cell>
        </row>
        <row r="13">
          <cell r="C13">
            <v>0</v>
          </cell>
          <cell r="D13">
            <v>0</v>
          </cell>
        </row>
        <row r="14">
          <cell r="C14">
            <v>0</v>
          </cell>
          <cell r="D14">
            <v>0</v>
          </cell>
          <cell r="E14">
            <v>0</v>
          </cell>
        </row>
        <row r="16">
          <cell r="D16">
            <v>0</v>
          </cell>
        </row>
        <row r="17">
          <cell r="C17">
            <v>0.5</v>
          </cell>
          <cell r="D17">
            <v>0.5</v>
          </cell>
        </row>
        <row r="18">
          <cell r="C18">
            <v>0</v>
          </cell>
          <cell r="D18">
            <v>0</v>
          </cell>
        </row>
        <row r="19">
          <cell r="C19">
            <v>0.5</v>
          </cell>
          <cell r="D19">
            <v>0.5</v>
          </cell>
        </row>
        <row r="20">
          <cell r="C20">
            <v>12.5</v>
          </cell>
          <cell r="D20">
            <v>12.5</v>
          </cell>
          <cell r="E20">
            <v>12.5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os por proyecto"/>
      <sheetName val="nsalas.tn1xmod"/>
      <sheetName val="Sheet3"/>
      <sheetName val="Modelos_por_proyecto"/>
      <sheetName val="nsalas_tn1xmod"/>
      <sheetName val="Input"/>
      <sheetName val="T4-1"/>
      <sheetName val="LPU"/>
      <sheetName val="LISTA"/>
      <sheetName val="Real_Teste"/>
      <sheetName val=" MEDIÇÃO ANALÍTICA"/>
      <sheetName val="Master Price List"/>
      <sheetName val="RESUMO GERAL"/>
      <sheetName val="Res-Pre ANILLO 1"/>
      <sheetName val="Belo Horizonte"/>
      <sheetName val="#¡REF"/>
      <sheetName val="Modelos_por_proyecto1"/>
      <sheetName val="nsalas_tn1xmod1"/>
      <sheetName val="Modelos_por_proyecto2"/>
      <sheetName val="nsalas_tn1xmod2"/>
      <sheetName val="Rates"/>
      <sheetName val="LSU"/>
      <sheetName val="ALTERN 1310"/>
      <sheetName val="Model cost sales TN-1X"/>
      <sheetName val="TELAIMA"/>
      <sheetName val="PRICE"/>
      <sheetName val="MEX95IB"/>
      <sheetName val="CS-MEMBER-HW-COST"/>
      <sheetName val="Dados Básicos"/>
      <sheetName val="L3-AAA"/>
      <sheetName val="Data"/>
      <sheetName val="Initial Invest"/>
    </sheetNames>
    <sheetDataSet>
      <sheetData sheetId="0" refreshError="1"/>
      <sheetData sheetId="1" refreshError="1">
        <row r="2">
          <cell r="A2" t="str">
            <v>25SKM00807AAN</v>
          </cell>
          <cell r="B2" t="str">
            <v>GBP</v>
          </cell>
          <cell r="C2">
            <v>245.024</v>
          </cell>
          <cell r="D2">
            <v>379.78719999999998</v>
          </cell>
        </row>
        <row r="3">
          <cell r="A3" t="str">
            <v>25SKM00807ABE</v>
          </cell>
          <cell r="B3" t="str">
            <v>GBP</v>
          </cell>
          <cell r="C3">
            <v>36.667499999999997</v>
          </cell>
          <cell r="D3">
            <v>56.834624999999996</v>
          </cell>
        </row>
        <row r="4">
          <cell r="A4" t="str">
            <v>NTKD71AA</v>
          </cell>
          <cell r="B4" t="str">
            <v>GBP</v>
          </cell>
          <cell r="C4">
            <v>370</v>
          </cell>
          <cell r="D4">
            <v>573.5</v>
          </cell>
        </row>
        <row r="5">
          <cell r="A5" t="str">
            <v>25SKM00807AAZ</v>
          </cell>
          <cell r="B5" t="str">
            <v>GBP</v>
          </cell>
          <cell r="C5">
            <v>20.944099999999999</v>
          </cell>
          <cell r="D5">
            <v>32.463355</v>
          </cell>
        </row>
        <row r="6">
          <cell r="A6" t="str">
            <v>25SKM00750HPK</v>
          </cell>
          <cell r="B6" t="str">
            <v>GBP</v>
          </cell>
          <cell r="C6">
            <v>90.040300000000002</v>
          </cell>
          <cell r="D6">
            <v>139.562465</v>
          </cell>
        </row>
        <row r="7">
          <cell r="A7" t="str">
            <v>25SKM00750HPG</v>
          </cell>
          <cell r="B7" t="str">
            <v>GBP</v>
          </cell>
          <cell r="C7">
            <v>77.241699999999994</v>
          </cell>
          <cell r="D7">
            <v>119.72463499999999</v>
          </cell>
        </row>
        <row r="8">
          <cell r="A8" t="str">
            <v>25SKM00750HPE</v>
          </cell>
          <cell r="B8" t="str">
            <v>GBP</v>
          </cell>
          <cell r="C8">
            <v>32.706400000000002</v>
          </cell>
          <cell r="D8">
            <v>50.694920000000003</v>
          </cell>
        </row>
        <row r="9">
          <cell r="A9" t="str">
            <v>25SKM00750HPD</v>
          </cell>
          <cell r="B9" t="str">
            <v>GBP</v>
          </cell>
          <cell r="C9">
            <v>28.6175</v>
          </cell>
          <cell r="D9">
            <v>44.357125000000003</v>
          </cell>
        </row>
        <row r="10">
          <cell r="A10" t="str">
            <v>25GMU00750GWV</v>
          </cell>
          <cell r="B10" t="str">
            <v>GBP</v>
          </cell>
          <cell r="C10">
            <v>627.83489999999995</v>
          </cell>
          <cell r="D10">
            <v>973.14409499999999</v>
          </cell>
        </row>
        <row r="11">
          <cell r="A11" t="str">
            <v>25SKM00807ABL</v>
          </cell>
          <cell r="B11" t="str">
            <v>GBP</v>
          </cell>
          <cell r="C11">
            <v>16.715199999999999</v>
          </cell>
          <cell r="D11">
            <v>25.908560000000001</v>
          </cell>
        </row>
        <row r="12">
          <cell r="A12" t="str">
            <v>25SKM00750HFN</v>
          </cell>
          <cell r="B12" t="str">
            <v>GBP</v>
          </cell>
          <cell r="C12">
            <v>2.7178</v>
          </cell>
          <cell r="D12">
            <v>4.2125900000000005</v>
          </cell>
        </row>
        <row r="13">
          <cell r="A13" t="str">
            <v>25UPW00750HAY</v>
          </cell>
          <cell r="B13" t="str">
            <v>GBP</v>
          </cell>
          <cell r="C13">
            <v>151.93270000000001</v>
          </cell>
          <cell r="D13">
            <v>235.49568500000004</v>
          </cell>
        </row>
        <row r="14">
          <cell r="A14" t="str">
            <v>25UMN00750GXD</v>
          </cell>
          <cell r="B14" t="str">
            <v>GBP</v>
          </cell>
          <cell r="C14">
            <v>346.50510000000003</v>
          </cell>
          <cell r="D14">
            <v>537.0829050000001</v>
          </cell>
        </row>
        <row r="15">
          <cell r="A15" t="str">
            <v>25UEP00750GXB</v>
          </cell>
          <cell r="B15" t="str">
            <v>GBP</v>
          </cell>
          <cell r="C15">
            <v>61.1524</v>
          </cell>
          <cell r="D15">
            <v>94.78622</v>
          </cell>
        </row>
        <row r="16">
          <cell r="A16" t="str">
            <v>25UJJ00750GXC</v>
          </cell>
          <cell r="B16" t="str">
            <v>GBP</v>
          </cell>
          <cell r="C16">
            <v>47.000700000000002</v>
          </cell>
          <cell r="D16">
            <v>72.851085000000012</v>
          </cell>
        </row>
        <row r="17">
          <cell r="A17" t="str">
            <v>25UJJ00750GWZ</v>
          </cell>
          <cell r="B17" t="str">
            <v>GBP</v>
          </cell>
          <cell r="C17">
            <v>26.333400000000001</v>
          </cell>
          <cell r="D17">
            <v>40.816770000000005</v>
          </cell>
        </row>
        <row r="18">
          <cell r="A18" t="str">
            <v>25UJJ00750GWX</v>
          </cell>
          <cell r="B18" t="str">
            <v>GBP</v>
          </cell>
          <cell r="C18">
            <v>23.1297</v>
          </cell>
          <cell r="D18">
            <v>35.851035000000003</v>
          </cell>
        </row>
        <row r="19">
          <cell r="A19" t="str">
            <v>NTKD13AA</v>
          </cell>
          <cell r="B19" t="str">
            <v>GBP</v>
          </cell>
          <cell r="C19">
            <v>181.7133</v>
          </cell>
          <cell r="D19">
            <v>281.65561500000001</v>
          </cell>
        </row>
        <row r="20">
          <cell r="A20" t="str">
            <v>25USV00750GVX</v>
          </cell>
          <cell r="B20" t="str">
            <v>GBP</v>
          </cell>
          <cell r="C20">
            <v>171.81960000000001</v>
          </cell>
          <cell r="D20">
            <v>266.32038</v>
          </cell>
        </row>
        <row r="21">
          <cell r="A21" t="str">
            <v>25SKM00750HZM</v>
          </cell>
          <cell r="B21" t="str">
            <v>GBP</v>
          </cell>
          <cell r="C21">
            <v>22.548300000000001</v>
          </cell>
          <cell r="D21">
            <v>34.949865000000003</v>
          </cell>
        </row>
        <row r="22">
          <cell r="A22" t="str">
            <v>25UJJ00750HPD</v>
          </cell>
          <cell r="B22" t="str">
            <v>GBP</v>
          </cell>
          <cell r="C22">
            <v>48.022599999999997</v>
          </cell>
          <cell r="D22">
            <v>74.435029999999998</v>
          </cell>
        </row>
        <row r="23">
          <cell r="A23" t="str">
            <v>25RBN00021AAA</v>
          </cell>
          <cell r="B23" t="str">
            <v>GBP</v>
          </cell>
          <cell r="C23">
            <v>8.3360000000000003</v>
          </cell>
          <cell r="D23">
            <v>12.920800000000002</v>
          </cell>
        </row>
        <row r="24">
          <cell r="A24" t="str">
            <v>25RBN00021AAB</v>
          </cell>
          <cell r="B24" t="str">
            <v>GBP</v>
          </cell>
          <cell r="C24">
            <v>13.7752</v>
          </cell>
          <cell r="D24">
            <v>21.351559999999999</v>
          </cell>
        </row>
        <row r="25">
          <cell r="A25" t="str">
            <v>25RBN00021AAC</v>
          </cell>
          <cell r="B25" t="str">
            <v>GBP</v>
          </cell>
          <cell r="C25">
            <v>20.218800000000002</v>
          </cell>
          <cell r="D25">
            <v>31.339140000000004</v>
          </cell>
        </row>
        <row r="26">
          <cell r="A26" t="str">
            <v>25SKM00750HFL</v>
          </cell>
          <cell r="B26" t="str">
            <v>GBP</v>
          </cell>
          <cell r="C26">
            <v>24.896000000000001</v>
          </cell>
          <cell r="D26">
            <v>38.588799999999999</v>
          </cell>
        </row>
        <row r="27">
          <cell r="A27" t="str">
            <v>25SKM00019AAE</v>
          </cell>
          <cell r="B27" t="str">
            <v>GBP</v>
          </cell>
          <cell r="C27">
            <v>27.4544</v>
          </cell>
          <cell r="D27">
            <v>42.554320000000004</v>
          </cell>
        </row>
        <row r="28">
          <cell r="A28" t="str">
            <v>25UPJ00750HZQ</v>
          </cell>
          <cell r="B28" t="str">
            <v>GBP</v>
          </cell>
          <cell r="C28">
            <v>378.02679999999998</v>
          </cell>
          <cell r="D28">
            <v>585.94154000000003</v>
          </cell>
        </row>
        <row r="29">
          <cell r="A29" t="str">
            <v>25UTM00750HWF</v>
          </cell>
          <cell r="B29" t="str">
            <v>GBP</v>
          </cell>
          <cell r="C29">
            <v>553.89290000000005</v>
          </cell>
          <cell r="D29">
            <v>858.53399500000012</v>
          </cell>
        </row>
        <row r="30">
          <cell r="A30" t="str">
            <v>25UTM00750HWH</v>
          </cell>
          <cell r="B30" t="str">
            <v>GBP</v>
          </cell>
          <cell r="C30">
            <v>797.28620000000001</v>
          </cell>
          <cell r="D30">
            <v>1235.7936099999999</v>
          </cell>
        </row>
        <row r="31">
          <cell r="A31" t="str">
            <v>25UTM00750HVB</v>
          </cell>
          <cell r="B31" t="str">
            <v>GBP</v>
          </cell>
          <cell r="C31">
            <v>1622.6205</v>
          </cell>
          <cell r="D31">
            <v>2515.0617750000001</v>
          </cell>
        </row>
        <row r="32">
          <cell r="A32" t="str">
            <v>25UTM00750GWB</v>
          </cell>
          <cell r="B32" t="str">
            <v>GBP</v>
          </cell>
          <cell r="C32">
            <v>390.50900000000001</v>
          </cell>
          <cell r="D32">
            <v>605.28895</v>
          </cell>
        </row>
        <row r="33">
          <cell r="A33" t="str">
            <v>25UJJ00750GYZ</v>
          </cell>
          <cell r="B33" t="str">
            <v>GBP</v>
          </cell>
          <cell r="C33">
            <v>34.098300000000002</v>
          </cell>
          <cell r="D33">
            <v>52.852365000000006</v>
          </cell>
        </row>
        <row r="34">
          <cell r="A34" t="str">
            <v>25UTM00750GSA</v>
          </cell>
          <cell r="B34" t="str">
            <v>GBP</v>
          </cell>
          <cell r="C34">
            <v>1285.6838</v>
          </cell>
          <cell r="D34">
            <v>1992.80989</v>
          </cell>
        </row>
        <row r="35">
          <cell r="A35" t="str">
            <v>25UTM00750GSC</v>
          </cell>
          <cell r="B35" t="str">
            <v>GBP</v>
          </cell>
          <cell r="C35">
            <v>1254.0127</v>
          </cell>
          <cell r="D35">
            <v>1943.719685</v>
          </cell>
        </row>
        <row r="36">
          <cell r="A36" t="str">
            <v>C149506-020</v>
          </cell>
          <cell r="D36">
            <v>50</v>
          </cell>
        </row>
        <row r="37">
          <cell r="A37" t="str">
            <v>C149492-020</v>
          </cell>
          <cell r="D37">
            <v>50</v>
          </cell>
        </row>
        <row r="38">
          <cell r="A38" t="str">
            <v>25UJU00750HVT</v>
          </cell>
          <cell r="B38" t="str">
            <v>GBP</v>
          </cell>
          <cell r="C38">
            <v>290.32310000000001</v>
          </cell>
          <cell r="D38">
            <v>450.00080500000001</v>
          </cell>
        </row>
        <row r="39">
          <cell r="A39" t="str">
            <v>25UJJ00750GVZ</v>
          </cell>
          <cell r="B39" t="str">
            <v>GBP</v>
          </cell>
          <cell r="C39">
            <v>57.6113</v>
          </cell>
          <cell r="D39">
            <v>89.297515000000004</v>
          </cell>
        </row>
        <row r="40">
          <cell r="A40" t="str">
            <v>NTKD14AA</v>
          </cell>
          <cell r="B40" t="str">
            <v>GBP</v>
          </cell>
          <cell r="C40">
            <v>79.320400000000006</v>
          </cell>
          <cell r="D40">
            <v>122.94662000000001</v>
          </cell>
        </row>
        <row r="41">
          <cell r="A41" t="str">
            <v>25UJU00750HVT</v>
          </cell>
          <cell r="B41" t="str">
            <v>GBP</v>
          </cell>
          <cell r="C41">
            <v>290.32310000000001</v>
          </cell>
          <cell r="D41">
            <v>450.00080500000001</v>
          </cell>
        </row>
        <row r="42">
          <cell r="A42" t="str">
            <v>25UJU00750HVQ</v>
          </cell>
          <cell r="B42" t="str">
            <v>GBP</v>
          </cell>
          <cell r="C42">
            <v>338.78300000000002</v>
          </cell>
          <cell r="D42">
            <v>525.11365000000001</v>
          </cell>
        </row>
        <row r="43">
          <cell r="A43" t="str">
            <v>25UJJ00750HLV</v>
          </cell>
          <cell r="B43" t="str">
            <v>GBP</v>
          </cell>
          <cell r="C43">
            <v>33.748100000000001</v>
          </cell>
          <cell r="D43">
            <v>52.309555000000003</v>
          </cell>
        </row>
        <row r="44">
          <cell r="A44" t="str">
            <v>NTKD15AA</v>
          </cell>
          <cell r="B44" t="str">
            <v>GBP</v>
          </cell>
          <cell r="C44">
            <v>59.561799999999998</v>
          </cell>
          <cell r="D44">
            <v>92.320790000000002</v>
          </cell>
        </row>
        <row r="45">
          <cell r="A45" t="str">
            <v>25UJU00750HVQ</v>
          </cell>
          <cell r="B45" t="str">
            <v>GBP</v>
          </cell>
          <cell r="C45">
            <v>338.78300000000002</v>
          </cell>
          <cell r="D45">
            <v>525.11365000000001</v>
          </cell>
        </row>
        <row r="46">
          <cell r="A46" t="str">
            <v>25UJU00750HJZ</v>
          </cell>
          <cell r="B46" t="str">
            <v>GBP</v>
          </cell>
          <cell r="C46">
            <v>560.94539999999995</v>
          </cell>
          <cell r="D46">
            <v>869.46536999999989</v>
          </cell>
        </row>
        <row r="47">
          <cell r="A47" t="str">
            <v>25UJJ00750HTD</v>
          </cell>
          <cell r="B47" t="str">
            <v>GBP</v>
          </cell>
          <cell r="C47">
            <v>31.632000000000001</v>
          </cell>
          <cell r="D47">
            <v>49.029600000000002</v>
          </cell>
        </row>
        <row r="48">
          <cell r="A48" t="str">
            <v>NTKD12AA</v>
          </cell>
          <cell r="B48" t="str">
            <v>GBP</v>
          </cell>
          <cell r="C48">
            <v>342.39330000000001</v>
          </cell>
          <cell r="D48">
            <v>530.70961499999999</v>
          </cell>
        </row>
        <row r="49">
          <cell r="A49" t="str">
            <v>25UJJ00750GWY</v>
          </cell>
          <cell r="B49" t="str">
            <v>GBP</v>
          </cell>
          <cell r="C49">
            <v>36.998399999999997</v>
          </cell>
          <cell r="D49">
            <v>57.347519999999996</v>
          </cell>
        </row>
        <row r="50">
          <cell r="A50" t="str">
            <v>32YCN00750BFA</v>
          </cell>
          <cell r="B50" t="str">
            <v>GBP</v>
          </cell>
          <cell r="C50">
            <v>15.18</v>
          </cell>
          <cell r="D50">
            <v>23.529</v>
          </cell>
        </row>
        <row r="51">
          <cell r="A51" t="str">
            <v>32YCN00754BFA</v>
          </cell>
          <cell r="B51" t="str">
            <v>GBP</v>
          </cell>
          <cell r="C51">
            <v>26.94</v>
          </cell>
          <cell r="D51">
            <v>41.757000000000005</v>
          </cell>
        </row>
        <row r="52">
          <cell r="A52" t="str">
            <v>32YCN00755BFA</v>
          </cell>
          <cell r="B52" t="str">
            <v>GBP</v>
          </cell>
          <cell r="C52">
            <v>28.64</v>
          </cell>
          <cell r="D52">
            <v>44.392000000000003</v>
          </cell>
        </row>
        <row r="53">
          <cell r="A53" t="str">
            <v>NTQJ35JA</v>
          </cell>
          <cell r="D53">
            <v>1000</v>
          </cell>
        </row>
        <row r="54">
          <cell r="A54" t="str">
            <v>NTQJ36GA</v>
          </cell>
          <cell r="D54">
            <v>500</v>
          </cell>
        </row>
        <row r="55">
          <cell r="A55" t="str">
            <v>NTQJ91DJ</v>
          </cell>
          <cell r="D55">
            <v>300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ow r="2">
          <cell r="A2" t="str">
            <v>25SKM00807AAN</v>
          </cell>
        </row>
      </sheetData>
      <sheetData sheetId="17">
        <row r="2">
          <cell r="A2" t="str">
            <v>25SKM00807AAN</v>
          </cell>
        </row>
      </sheetData>
      <sheetData sheetId="18">
        <row r="2">
          <cell r="A2" t="str">
            <v>25SKM00807AAN</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DASTRO"/>
      <sheetName val="Localização"/>
      <sheetName val="CAPA"/>
      <sheetName val="CONFIGURAÇÃO_BTS"/>
      <sheetName val="CALCULO POR ANTENA BLOCO D"/>
      <sheetName val="CALCULO POR ANTENA BLOCO B-C"/>
      <sheetName val="CALCULO POR ANTENA BLOCO A"/>
      <sheetName val="CONFIGURAÇÃO_INDOOR_SETOR 1 "/>
      <sheetName val="CONFIGURAÇÃO_INDOOR_SETOR 2"/>
      <sheetName val="CONFIGURAÇÃO_INDOOR_SETOR 3"/>
      <sheetName val="FOTOS"/>
      <sheetName val="DIAGRAMA UNIFILAR"/>
      <sheetName val="Localização das antenas"/>
      <sheetName val="Prop Ant 49_1 SS_Bloco B-C"/>
      <sheetName val="Prop Ant 50_1 SS_Bloco B-C"/>
      <sheetName val="Prop Ant 50 A_ 1 SS Bloco B-C"/>
      <sheetName val="Prop Ant 51_1 andar_Bloco B-C"/>
      <sheetName val="Prop Ant 52_1 andar_Bloco B-C"/>
      <sheetName val="Prop Ant 65 _ 1 andar_Bloco B-C"/>
      <sheetName val="Prop Ant 60_5 andar_Bloco B-C"/>
      <sheetName val="Prop Ant 59_ 5 andar _Bloco B-C"/>
      <sheetName val="Prop Ant 66_5 ss Bloco A"/>
      <sheetName val="Prop Ant 33_3 ss_Bloco A"/>
      <sheetName val="Prop Ant 34_3 ss_Bloco A"/>
      <sheetName val="Prop Ant 35_2 ss Bloco A"/>
      <sheetName val="Prop Ant 36_2 ss Bloco A"/>
      <sheetName val="Prop Ant 67_1 ss Bloco A"/>
      <sheetName val="Prop Ant 68 _ 1 andar Bloco A"/>
      <sheetName val="Prop Ant 69_ 1 andar bloco A"/>
      <sheetName val="Prop Ant 72_3 andar Bloco A"/>
      <sheetName val="Prop Ant 71_ 3 andar bloco A"/>
      <sheetName val="Prop Ant 74_5 andar _Bloco A"/>
      <sheetName val="Prop Ant 5 andar Bloco A"/>
      <sheetName val="Prop Ant 61 _ 2 andar _Bloco D"/>
      <sheetName val="Prop Ant 05_3 andar_Bloco D"/>
      <sheetName val="Prop Ant 06_ 3 andar_bloco D"/>
      <sheetName val="Prop Ant 06_3 andar_ bloco D (1"/>
      <sheetName val="Prop Ant 63_3 andar Bloco D"/>
      <sheetName val="Prop Ant 07_4 andar_Bloco D"/>
      <sheetName val="Prop Ant 08_4 andar_Bloco D"/>
      <sheetName val="Prop ant 64 _4 andar Bloco d"/>
      <sheetName val="Prop Ant 10_5 andar_bloco D"/>
      <sheetName val="Prop Ant 14_7 andar _Bloco D"/>
      <sheetName val="Prop Ant 16_8 andar _bloco D"/>
      <sheetName val="Prop Ant 26_13 andar_Bloco D"/>
      <sheetName val="CALCULO_POR_ANTENA_BLOCO_D"/>
      <sheetName val="CALCULO_POR_ANTENA_BLOCO_B-C"/>
      <sheetName val="CALCULO_POR_ANTENA_BLOCO_A"/>
      <sheetName val="CONFIGURAÇÃO_INDOOR_SETOR_1_"/>
      <sheetName val="CONFIGURAÇÃO_INDOOR_SETOR_2"/>
      <sheetName val="CONFIGURAÇÃO_INDOOR_SETOR_3"/>
      <sheetName val="DIAGRAMA_UNIFILAR"/>
      <sheetName val="Localização_das_antenas"/>
      <sheetName val="Prop_Ant_49_1_SS_Bloco_B-C"/>
      <sheetName val="Prop_Ant_50_1_SS_Bloco_B-C"/>
      <sheetName val="Prop_Ant_50_A__1_SS_Bloco_B-C"/>
      <sheetName val="Prop_Ant_51_1_andar_Bloco_B-C"/>
      <sheetName val="Prop_Ant_52_1_andar_Bloco_B-C"/>
      <sheetName val="Prop_Ant_65___1_andar_Bloco_B-C"/>
      <sheetName val="Prop_Ant_60_5_andar_Bloco_B-C"/>
      <sheetName val="Prop_Ant_59__5_andar__Bloco_B-C"/>
      <sheetName val="Prop_Ant_66_5_ss_Bloco_A"/>
      <sheetName val="Prop_Ant_33_3_ss_Bloco_A"/>
      <sheetName val="Prop_Ant_34_3_ss_Bloco_A"/>
      <sheetName val="Prop_Ant_35_2_ss_Bloco_A"/>
      <sheetName val="Prop_Ant_36_2_ss_Bloco_A"/>
      <sheetName val="Prop_Ant_67_1_ss_Bloco_A"/>
      <sheetName val="Prop_Ant_68___1_andar_Bloco_A"/>
      <sheetName val="Prop_Ant_69__1_andar_bloco_A"/>
      <sheetName val="Prop_Ant_72_3_andar_Bloco_A"/>
      <sheetName val="Prop_Ant_71__3_andar_bloco_A"/>
      <sheetName val="Prop_Ant_74_5_andar__Bloco_A"/>
      <sheetName val="Prop_Ant_5_andar_Bloco_A"/>
      <sheetName val="Prop_Ant_61___2_andar__Bloco_D"/>
      <sheetName val="Prop_Ant_05_3_andar_Bloco_D"/>
      <sheetName val="Prop_Ant_06__3_andar_bloco_D"/>
      <sheetName val="Prop_Ant_06_3_andar__bloco_D_(1"/>
      <sheetName val="Prop_Ant_63_3_andar_Bloco_D"/>
      <sheetName val="Prop_Ant_07_4_andar_Bloco_D"/>
      <sheetName val="Prop_Ant_08_4_andar_Bloco_D"/>
      <sheetName val="Prop_ant_64__4_andar_Bloco_d"/>
      <sheetName val="Prop_Ant_10_5_andar_bloco_D"/>
      <sheetName val="Prop_Ant_14_7_andar__Bloco_D"/>
      <sheetName val="Prop_Ant_16_8_andar__bloco_D"/>
      <sheetName val="Prop_Ant_26_13_andar_Bloco_D"/>
      <sheetName val="nsalas_tn1xmod"/>
      <sheetName val="nsalas.tn1xmod"/>
    </sheetNames>
    <sheetDataSet>
      <sheetData sheetId="0" refreshError="1">
        <row r="27">
          <cell r="E27" t="str">
            <v>Abaíra</v>
          </cell>
        </row>
        <row r="28">
          <cell r="E28" t="str">
            <v>Abaré</v>
          </cell>
        </row>
        <row r="29">
          <cell r="E29" t="str">
            <v>Acajutiba</v>
          </cell>
        </row>
        <row r="30">
          <cell r="E30" t="str">
            <v>Adustina</v>
          </cell>
        </row>
        <row r="31">
          <cell r="E31" t="str">
            <v>Água Fria</v>
          </cell>
        </row>
        <row r="32">
          <cell r="E32" t="str">
            <v>Aiquara</v>
          </cell>
        </row>
        <row r="33">
          <cell r="E33" t="str">
            <v>Alagoinhas</v>
          </cell>
        </row>
        <row r="34">
          <cell r="E34" t="str">
            <v>Alcobaça</v>
          </cell>
        </row>
        <row r="35">
          <cell r="E35" t="str">
            <v>Almadina</v>
          </cell>
        </row>
        <row r="36">
          <cell r="E36" t="str">
            <v>Amargosa</v>
          </cell>
        </row>
        <row r="37">
          <cell r="E37" t="str">
            <v>Amélia Rodrigues</v>
          </cell>
        </row>
        <row r="38">
          <cell r="E38" t="str">
            <v>América Dourada</v>
          </cell>
        </row>
        <row r="39">
          <cell r="E39" t="str">
            <v>Anagé</v>
          </cell>
        </row>
        <row r="40">
          <cell r="E40" t="str">
            <v>Andaraí</v>
          </cell>
        </row>
        <row r="41">
          <cell r="E41" t="str">
            <v>Andorinha</v>
          </cell>
        </row>
        <row r="42">
          <cell r="E42" t="str">
            <v>Angical</v>
          </cell>
        </row>
        <row r="43">
          <cell r="E43" t="str">
            <v>Anguera</v>
          </cell>
        </row>
        <row r="44">
          <cell r="E44" t="str">
            <v>Antas</v>
          </cell>
        </row>
        <row r="45">
          <cell r="E45" t="str">
            <v>Antônio Cardoso</v>
          </cell>
        </row>
        <row r="46">
          <cell r="E46" t="str">
            <v>Antônio Gonçalves</v>
          </cell>
        </row>
        <row r="47">
          <cell r="E47" t="str">
            <v>Aporá</v>
          </cell>
        </row>
        <row r="48">
          <cell r="E48" t="str">
            <v>Apuarema</v>
          </cell>
        </row>
        <row r="49">
          <cell r="E49" t="str">
            <v>Araças</v>
          </cell>
        </row>
        <row r="50">
          <cell r="E50" t="str">
            <v>Aracatu</v>
          </cell>
        </row>
        <row r="51">
          <cell r="E51" t="str">
            <v>Araci</v>
          </cell>
        </row>
        <row r="52">
          <cell r="E52" t="str">
            <v>Aramari</v>
          </cell>
        </row>
        <row r="53">
          <cell r="E53" t="str">
            <v>Arataca</v>
          </cell>
        </row>
        <row r="54">
          <cell r="E54" t="str">
            <v>Aratuípe</v>
          </cell>
        </row>
        <row r="55">
          <cell r="E55" t="str">
            <v>Aurelino Leal</v>
          </cell>
        </row>
        <row r="56">
          <cell r="E56" t="str">
            <v>Baianópolis</v>
          </cell>
        </row>
        <row r="57">
          <cell r="E57" t="str">
            <v>Baixa Grande</v>
          </cell>
        </row>
        <row r="58">
          <cell r="E58" t="str">
            <v>Banzaê</v>
          </cell>
        </row>
        <row r="59">
          <cell r="E59" t="str">
            <v>Barra</v>
          </cell>
        </row>
        <row r="60">
          <cell r="E60" t="str">
            <v>Barra da Estiva</v>
          </cell>
        </row>
        <row r="61">
          <cell r="E61" t="str">
            <v>Barra do Choça</v>
          </cell>
        </row>
        <row r="62">
          <cell r="E62" t="str">
            <v>Barra do Mendes</v>
          </cell>
        </row>
        <row r="63">
          <cell r="E63" t="str">
            <v>Barra do Rocha</v>
          </cell>
        </row>
        <row r="64">
          <cell r="E64" t="str">
            <v>Barreiras</v>
          </cell>
        </row>
        <row r="65">
          <cell r="E65" t="str">
            <v>Barro Alto</v>
          </cell>
        </row>
        <row r="66">
          <cell r="E66" t="str">
            <v>Barro Preto</v>
          </cell>
        </row>
        <row r="67">
          <cell r="E67" t="str">
            <v>Belmonte</v>
          </cell>
        </row>
        <row r="68">
          <cell r="E68" t="str">
            <v>Belo Campo</v>
          </cell>
        </row>
        <row r="69">
          <cell r="E69" t="str">
            <v>Biritinga</v>
          </cell>
        </row>
        <row r="70">
          <cell r="E70" t="str">
            <v>Boa Nova</v>
          </cell>
        </row>
        <row r="71">
          <cell r="E71" t="str">
            <v>Boa Vista do Tupim</v>
          </cell>
        </row>
        <row r="72">
          <cell r="E72" t="str">
            <v>Bom Jesus da Lapa</v>
          </cell>
        </row>
        <row r="73">
          <cell r="E73" t="str">
            <v>Bom Jesus da Serra</v>
          </cell>
        </row>
        <row r="74">
          <cell r="E74" t="str">
            <v>Boninal</v>
          </cell>
        </row>
        <row r="75">
          <cell r="E75" t="str">
            <v>Bonito</v>
          </cell>
        </row>
        <row r="76">
          <cell r="E76" t="str">
            <v>Boquira</v>
          </cell>
        </row>
        <row r="77">
          <cell r="E77" t="str">
            <v>Botuporã</v>
          </cell>
        </row>
        <row r="78">
          <cell r="E78" t="str">
            <v>Brejões</v>
          </cell>
        </row>
        <row r="79">
          <cell r="E79" t="str">
            <v>Brejolândia</v>
          </cell>
        </row>
        <row r="80">
          <cell r="E80" t="str">
            <v>Brotas de Macaúbas</v>
          </cell>
        </row>
        <row r="81">
          <cell r="E81" t="str">
            <v>Brumado</v>
          </cell>
        </row>
        <row r="82">
          <cell r="E82" t="str">
            <v>Buerarema</v>
          </cell>
        </row>
        <row r="83">
          <cell r="E83" t="str">
            <v>Buritirama</v>
          </cell>
        </row>
        <row r="84">
          <cell r="E84" t="str">
            <v>Caatiba</v>
          </cell>
        </row>
        <row r="85">
          <cell r="E85" t="str">
            <v>Cabaceiras do Paraguaçu</v>
          </cell>
        </row>
        <row r="86">
          <cell r="E86" t="str">
            <v>Cachoeira</v>
          </cell>
        </row>
        <row r="87">
          <cell r="E87" t="str">
            <v>Caculé</v>
          </cell>
        </row>
        <row r="88">
          <cell r="E88" t="str">
            <v>Caém</v>
          </cell>
        </row>
        <row r="89">
          <cell r="E89" t="str">
            <v>Caetanos</v>
          </cell>
        </row>
        <row r="90">
          <cell r="E90" t="str">
            <v>Caetité</v>
          </cell>
        </row>
        <row r="91">
          <cell r="E91" t="str">
            <v>Cafarnaum</v>
          </cell>
        </row>
        <row r="92">
          <cell r="E92" t="str">
            <v>Cairu</v>
          </cell>
        </row>
        <row r="93">
          <cell r="E93" t="str">
            <v>Caldeirão Grande</v>
          </cell>
        </row>
        <row r="94">
          <cell r="E94" t="str">
            <v>Camacan</v>
          </cell>
        </row>
        <row r="95">
          <cell r="E95" t="str">
            <v>Camaçari</v>
          </cell>
        </row>
        <row r="96">
          <cell r="E96" t="str">
            <v>Camamu</v>
          </cell>
        </row>
        <row r="97">
          <cell r="E97" t="str">
            <v>Campo Alegre de Lourdes</v>
          </cell>
        </row>
        <row r="98">
          <cell r="E98" t="str">
            <v>Campo Formoso</v>
          </cell>
        </row>
        <row r="99">
          <cell r="E99" t="str">
            <v>Canápolis</v>
          </cell>
        </row>
        <row r="100">
          <cell r="E100" t="str">
            <v>Canarana</v>
          </cell>
        </row>
        <row r="101">
          <cell r="E101" t="str">
            <v>Canavieiras</v>
          </cell>
        </row>
        <row r="102">
          <cell r="E102" t="str">
            <v>Candeal</v>
          </cell>
        </row>
        <row r="103">
          <cell r="E103" t="str">
            <v>Candeias</v>
          </cell>
        </row>
        <row r="104">
          <cell r="E104" t="str">
            <v>Candiba</v>
          </cell>
        </row>
        <row r="105">
          <cell r="E105" t="str">
            <v>Cândido Sales</v>
          </cell>
        </row>
        <row r="106">
          <cell r="E106" t="str">
            <v>Cansanção</v>
          </cell>
        </row>
        <row r="107">
          <cell r="E107" t="str">
            <v>Canudos</v>
          </cell>
        </row>
        <row r="108">
          <cell r="E108" t="str">
            <v>Capela do Alto Alegre</v>
          </cell>
        </row>
        <row r="109">
          <cell r="E109" t="str">
            <v>Capim Grosso</v>
          </cell>
        </row>
        <row r="110">
          <cell r="E110" t="str">
            <v>Caraíbas</v>
          </cell>
        </row>
        <row r="111">
          <cell r="E111" t="str">
            <v>Caravelas</v>
          </cell>
        </row>
        <row r="112">
          <cell r="E112" t="str">
            <v>Cardeal da Silva</v>
          </cell>
        </row>
        <row r="113">
          <cell r="E113" t="str">
            <v>Carinhanha</v>
          </cell>
        </row>
        <row r="114">
          <cell r="E114" t="str">
            <v>Casa Nova</v>
          </cell>
        </row>
        <row r="115">
          <cell r="E115" t="str">
            <v>Castro Alves</v>
          </cell>
        </row>
        <row r="116">
          <cell r="E116" t="str">
            <v>Catolândia</v>
          </cell>
        </row>
        <row r="117">
          <cell r="E117" t="str">
            <v>Catu</v>
          </cell>
        </row>
        <row r="118">
          <cell r="E118" t="str">
            <v>Caturama</v>
          </cell>
        </row>
        <row r="119">
          <cell r="E119" t="str">
            <v>Central</v>
          </cell>
        </row>
        <row r="120">
          <cell r="E120" t="str">
            <v>Chorrochó</v>
          </cell>
        </row>
        <row r="121">
          <cell r="E121" t="str">
            <v>Cícero Dantas</v>
          </cell>
        </row>
        <row r="122">
          <cell r="E122" t="str">
            <v>Cipó</v>
          </cell>
        </row>
        <row r="123">
          <cell r="E123" t="str">
            <v>Coaraci</v>
          </cell>
        </row>
        <row r="124">
          <cell r="E124" t="str">
            <v>Cocos</v>
          </cell>
        </row>
        <row r="125">
          <cell r="E125" t="str">
            <v>Conceição da Feira</v>
          </cell>
        </row>
        <row r="126">
          <cell r="E126" t="str">
            <v>Conceição do Almeida</v>
          </cell>
        </row>
        <row r="127">
          <cell r="E127" t="str">
            <v>Conceição do Coité</v>
          </cell>
        </row>
        <row r="128">
          <cell r="E128" t="str">
            <v>Conceição do Jacuípe</v>
          </cell>
        </row>
        <row r="129">
          <cell r="E129" t="str">
            <v>Conde</v>
          </cell>
        </row>
        <row r="130">
          <cell r="E130" t="str">
            <v>Condeúba</v>
          </cell>
        </row>
        <row r="131">
          <cell r="E131" t="str">
            <v>Contendas do Sincorá</v>
          </cell>
        </row>
        <row r="132">
          <cell r="E132" t="str">
            <v>Coração de Maria</v>
          </cell>
        </row>
        <row r="133">
          <cell r="E133" t="str">
            <v>Cordeiros</v>
          </cell>
        </row>
        <row r="134">
          <cell r="E134" t="str">
            <v>Coribe</v>
          </cell>
        </row>
        <row r="135">
          <cell r="E135" t="str">
            <v>Coronel João Sá</v>
          </cell>
        </row>
        <row r="136">
          <cell r="E136" t="str">
            <v>Correntina</v>
          </cell>
        </row>
        <row r="137">
          <cell r="E137" t="str">
            <v>Cotegipe</v>
          </cell>
        </row>
        <row r="138">
          <cell r="E138" t="str">
            <v>Cravolândia</v>
          </cell>
        </row>
        <row r="139">
          <cell r="E139" t="str">
            <v>Crisópolis</v>
          </cell>
        </row>
        <row r="140">
          <cell r="E140" t="str">
            <v>Cristópolis</v>
          </cell>
        </row>
        <row r="141">
          <cell r="E141" t="str">
            <v>Cruz das Almas</v>
          </cell>
        </row>
        <row r="142">
          <cell r="E142" t="str">
            <v>Curaçá</v>
          </cell>
        </row>
        <row r="143">
          <cell r="E143" t="str">
            <v>Dário Meira</v>
          </cell>
        </row>
        <row r="144">
          <cell r="E144" t="str">
            <v>Dias d'Ávila</v>
          </cell>
        </row>
        <row r="145">
          <cell r="E145" t="str">
            <v>Dom Basílio</v>
          </cell>
        </row>
        <row r="146">
          <cell r="E146" t="str">
            <v>Dom Macedo Costa</v>
          </cell>
        </row>
        <row r="147">
          <cell r="E147" t="str">
            <v>Elísio Medrado</v>
          </cell>
        </row>
        <row r="148">
          <cell r="E148" t="str">
            <v>Encruzilhada</v>
          </cell>
        </row>
        <row r="149">
          <cell r="E149" t="str">
            <v>Entre Rios</v>
          </cell>
        </row>
        <row r="150">
          <cell r="E150" t="str">
            <v>Érico Cardoso</v>
          </cell>
        </row>
        <row r="151">
          <cell r="E151" t="str">
            <v>Esplanada</v>
          </cell>
        </row>
        <row r="152">
          <cell r="E152" t="str">
            <v>Euclides da Cunha</v>
          </cell>
        </row>
        <row r="153">
          <cell r="E153" t="str">
            <v>Eunápolis</v>
          </cell>
        </row>
        <row r="154">
          <cell r="E154" t="str">
            <v>Fátima</v>
          </cell>
        </row>
        <row r="155">
          <cell r="E155" t="str">
            <v>Feira da Mata</v>
          </cell>
        </row>
        <row r="156">
          <cell r="E156" t="str">
            <v>Feira de Santana</v>
          </cell>
        </row>
        <row r="157">
          <cell r="E157" t="str">
            <v>Filadélfia</v>
          </cell>
        </row>
        <row r="158">
          <cell r="E158" t="str">
            <v>Firmino Alves</v>
          </cell>
        </row>
        <row r="159">
          <cell r="E159" t="str">
            <v>Floresta Azul</v>
          </cell>
        </row>
        <row r="160">
          <cell r="E160" t="str">
            <v>Formosa do Rio Preto</v>
          </cell>
        </row>
        <row r="161">
          <cell r="E161" t="str">
            <v>Gandu</v>
          </cell>
        </row>
        <row r="162">
          <cell r="E162" t="str">
            <v>Gavião</v>
          </cell>
        </row>
        <row r="163">
          <cell r="E163" t="str">
            <v>Gentio do Ouro</v>
          </cell>
        </row>
        <row r="164">
          <cell r="E164" t="str">
            <v>Glória</v>
          </cell>
        </row>
        <row r="165">
          <cell r="E165" t="str">
            <v>Gongogi</v>
          </cell>
        </row>
        <row r="166">
          <cell r="E166" t="str">
            <v>Governador Mangabeira</v>
          </cell>
        </row>
        <row r="167">
          <cell r="E167" t="str">
            <v>Guajeru</v>
          </cell>
        </row>
        <row r="168">
          <cell r="E168" t="str">
            <v>Guanambi</v>
          </cell>
        </row>
        <row r="169">
          <cell r="E169" t="str">
            <v>Guaratinga</v>
          </cell>
        </row>
        <row r="170">
          <cell r="E170" t="str">
            <v>Heliópolis</v>
          </cell>
        </row>
        <row r="171">
          <cell r="E171" t="str">
            <v>Iaçu</v>
          </cell>
        </row>
        <row r="172">
          <cell r="E172" t="str">
            <v>Ibiassucê</v>
          </cell>
        </row>
        <row r="173">
          <cell r="E173" t="str">
            <v>Ibicaraí</v>
          </cell>
        </row>
        <row r="174">
          <cell r="E174" t="str">
            <v>Ibicoara</v>
          </cell>
        </row>
        <row r="175">
          <cell r="E175" t="str">
            <v>Ibicuí</v>
          </cell>
        </row>
        <row r="176">
          <cell r="E176" t="str">
            <v>Ibipeba</v>
          </cell>
        </row>
        <row r="177">
          <cell r="E177" t="str">
            <v>Ibipitanga</v>
          </cell>
        </row>
        <row r="178">
          <cell r="E178" t="str">
            <v>Ibiquera</v>
          </cell>
        </row>
        <row r="179">
          <cell r="E179" t="str">
            <v>Ibirapitanga</v>
          </cell>
        </row>
        <row r="180">
          <cell r="E180" t="str">
            <v>Ibirapuã</v>
          </cell>
        </row>
        <row r="181">
          <cell r="E181" t="str">
            <v>Ibirataia</v>
          </cell>
        </row>
        <row r="182">
          <cell r="E182" t="str">
            <v>Ibitiara</v>
          </cell>
        </row>
        <row r="183">
          <cell r="E183" t="str">
            <v>Ibititá</v>
          </cell>
        </row>
        <row r="184">
          <cell r="E184" t="str">
            <v>Ibotirama</v>
          </cell>
        </row>
        <row r="185">
          <cell r="E185" t="str">
            <v>Ichu</v>
          </cell>
        </row>
        <row r="186">
          <cell r="E186" t="str">
            <v>Igaporã</v>
          </cell>
        </row>
        <row r="187">
          <cell r="E187" t="str">
            <v>Igrapiúna</v>
          </cell>
        </row>
        <row r="188">
          <cell r="E188" t="str">
            <v>Iguaí</v>
          </cell>
        </row>
        <row r="189">
          <cell r="E189" t="str">
            <v>Ilhéus</v>
          </cell>
        </row>
        <row r="190">
          <cell r="E190" t="str">
            <v>Inhambupe</v>
          </cell>
        </row>
        <row r="191">
          <cell r="E191" t="str">
            <v>Ipecaetá</v>
          </cell>
        </row>
        <row r="192">
          <cell r="E192" t="str">
            <v>Ipiaú</v>
          </cell>
        </row>
        <row r="193">
          <cell r="E193" t="str">
            <v>Ipirá</v>
          </cell>
        </row>
        <row r="194">
          <cell r="E194" t="str">
            <v>Ipupiara</v>
          </cell>
        </row>
        <row r="195">
          <cell r="E195" t="str">
            <v>Irajuba</v>
          </cell>
        </row>
        <row r="196">
          <cell r="E196" t="str">
            <v>Iramaia</v>
          </cell>
        </row>
        <row r="197">
          <cell r="E197" t="str">
            <v>Iraquara</v>
          </cell>
        </row>
        <row r="198">
          <cell r="E198" t="str">
            <v>Irará</v>
          </cell>
        </row>
        <row r="199">
          <cell r="E199" t="str">
            <v>Irecê</v>
          </cell>
        </row>
        <row r="200">
          <cell r="E200" t="str">
            <v>Itabela</v>
          </cell>
        </row>
        <row r="201">
          <cell r="E201" t="str">
            <v>Itaberaba</v>
          </cell>
        </row>
        <row r="202">
          <cell r="E202" t="str">
            <v>Itabuna</v>
          </cell>
        </row>
        <row r="203">
          <cell r="E203" t="str">
            <v>Itacaré</v>
          </cell>
        </row>
        <row r="204">
          <cell r="E204" t="str">
            <v>Itaeté</v>
          </cell>
        </row>
        <row r="205">
          <cell r="E205" t="str">
            <v>Itagi</v>
          </cell>
        </row>
        <row r="206">
          <cell r="E206" t="str">
            <v>Itagibá</v>
          </cell>
        </row>
        <row r="207">
          <cell r="E207" t="str">
            <v>Itagimirim</v>
          </cell>
        </row>
        <row r="208">
          <cell r="E208" t="str">
            <v>Itaguaçu da Bahia</v>
          </cell>
        </row>
        <row r="209">
          <cell r="E209" t="str">
            <v>Itaju do Colônia</v>
          </cell>
        </row>
        <row r="210">
          <cell r="E210" t="str">
            <v>Itajuípe</v>
          </cell>
        </row>
        <row r="211">
          <cell r="E211" t="str">
            <v>Itamaraju</v>
          </cell>
        </row>
        <row r="212">
          <cell r="E212" t="str">
            <v>Itamari</v>
          </cell>
        </row>
        <row r="213">
          <cell r="E213" t="str">
            <v>Itambé</v>
          </cell>
        </row>
        <row r="214">
          <cell r="E214" t="str">
            <v>Itanagra</v>
          </cell>
        </row>
        <row r="215">
          <cell r="E215" t="str">
            <v>Itanhém</v>
          </cell>
        </row>
        <row r="216">
          <cell r="E216" t="str">
            <v>Itaparica</v>
          </cell>
        </row>
        <row r="217">
          <cell r="E217" t="str">
            <v>Itapé</v>
          </cell>
        </row>
        <row r="218">
          <cell r="E218" t="str">
            <v>Itapebi</v>
          </cell>
        </row>
        <row r="219">
          <cell r="E219" t="str">
            <v>Itapetinga</v>
          </cell>
        </row>
        <row r="220">
          <cell r="E220" t="str">
            <v>Itapicuru</v>
          </cell>
        </row>
        <row r="221">
          <cell r="E221" t="str">
            <v>Itapitanga</v>
          </cell>
        </row>
        <row r="222">
          <cell r="E222" t="str">
            <v>Itaquara</v>
          </cell>
        </row>
        <row r="223">
          <cell r="E223" t="str">
            <v>Itarantim</v>
          </cell>
        </row>
        <row r="224">
          <cell r="E224" t="str">
            <v>Itatim</v>
          </cell>
        </row>
        <row r="225">
          <cell r="E225" t="str">
            <v>Itiruçu</v>
          </cell>
        </row>
        <row r="226">
          <cell r="E226" t="str">
            <v>Itiúba</v>
          </cell>
        </row>
        <row r="227">
          <cell r="E227" t="str">
            <v>Itororó</v>
          </cell>
        </row>
        <row r="228">
          <cell r="E228" t="str">
            <v>Ituaçu</v>
          </cell>
        </row>
        <row r="229">
          <cell r="E229" t="str">
            <v>Ituberá</v>
          </cell>
        </row>
        <row r="230">
          <cell r="E230" t="str">
            <v>Iuiú</v>
          </cell>
        </row>
        <row r="231">
          <cell r="E231" t="str">
            <v>Jaborandi</v>
          </cell>
        </row>
        <row r="232">
          <cell r="E232" t="str">
            <v>Jacaraci</v>
          </cell>
        </row>
        <row r="233">
          <cell r="E233" t="str">
            <v>Jacobina</v>
          </cell>
        </row>
        <row r="234">
          <cell r="E234" t="str">
            <v>Jaguaquara</v>
          </cell>
        </row>
        <row r="235">
          <cell r="E235" t="str">
            <v>Jaguarari</v>
          </cell>
        </row>
        <row r="236">
          <cell r="E236" t="str">
            <v>Jaguaripe</v>
          </cell>
        </row>
        <row r="237">
          <cell r="E237" t="str">
            <v>Jandaíra</v>
          </cell>
        </row>
        <row r="238">
          <cell r="E238" t="str">
            <v>Jequié</v>
          </cell>
        </row>
        <row r="239">
          <cell r="E239" t="str">
            <v>Jeremoabo</v>
          </cell>
        </row>
        <row r="240">
          <cell r="E240" t="str">
            <v>Jiquiriçá</v>
          </cell>
        </row>
        <row r="241">
          <cell r="E241" t="str">
            <v>Jitaúna</v>
          </cell>
        </row>
        <row r="242">
          <cell r="E242" t="str">
            <v>João Dourado</v>
          </cell>
        </row>
        <row r="243">
          <cell r="E243" t="str">
            <v>Juazeiro</v>
          </cell>
        </row>
        <row r="244">
          <cell r="E244" t="str">
            <v>Jucuruçu</v>
          </cell>
        </row>
        <row r="245">
          <cell r="E245" t="str">
            <v>Jussara</v>
          </cell>
        </row>
        <row r="246">
          <cell r="E246" t="str">
            <v>Jussari</v>
          </cell>
        </row>
        <row r="247">
          <cell r="E247" t="str">
            <v>Jussiape</v>
          </cell>
        </row>
        <row r="248">
          <cell r="E248" t="str">
            <v>Lafaiete Coutinho</v>
          </cell>
        </row>
        <row r="249">
          <cell r="E249" t="str">
            <v>Lagoa Real</v>
          </cell>
        </row>
        <row r="250">
          <cell r="E250" t="str">
            <v>Laje</v>
          </cell>
        </row>
        <row r="251">
          <cell r="E251" t="str">
            <v>Lajedão</v>
          </cell>
        </row>
        <row r="252">
          <cell r="E252" t="str">
            <v>Lajedinho</v>
          </cell>
        </row>
        <row r="253">
          <cell r="E253" t="str">
            <v>Lajedo do Tabocal</v>
          </cell>
        </row>
        <row r="254">
          <cell r="E254" t="str">
            <v>Lamarão</v>
          </cell>
        </row>
        <row r="255">
          <cell r="E255" t="str">
            <v>Lapão</v>
          </cell>
        </row>
        <row r="256">
          <cell r="E256" t="str">
            <v>Lauro de Freitas</v>
          </cell>
        </row>
        <row r="257">
          <cell r="E257" t="str">
            <v>Lençóis</v>
          </cell>
        </row>
        <row r="258">
          <cell r="E258" t="str">
            <v>Licínio de Almeida</v>
          </cell>
        </row>
        <row r="259">
          <cell r="E259" t="str">
            <v>Livramento de Nossa Senhora</v>
          </cell>
        </row>
        <row r="260">
          <cell r="E260" t="str">
            <v>Macajuba</v>
          </cell>
        </row>
        <row r="261">
          <cell r="E261" t="str">
            <v>Macarani</v>
          </cell>
        </row>
        <row r="262">
          <cell r="E262" t="str">
            <v>Macaúbas</v>
          </cell>
        </row>
        <row r="263">
          <cell r="E263" t="str">
            <v>Macururé</v>
          </cell>
        </row>
        <row r="264">
          <cell r="E264" t="str">
            <v>Madre de Deus</v>
          </cell>
        </row>
        <row r="265">
          <cell r="E265" t="str">
            <v>Maetinga</v>
          </cell>
        </row>
        <row r="266">
          <cell r="E266" t="str">
            <v>Maiquinique</v>
          </cell>
        </row>
        <row r="267">
          <cell r="E267" t="str">
            <v>Mairi</v>
          </cell>
        </row>
        <row r="268">
          <cell r="E268" t="str">
            <v>Malhada</v>
          </cell>
        </row>
        <row r="269">
          <cell r="E269" t="str">
            <v>Malhada de Pedras</v>
          </cell>
        </row>
        <row r="270">
          <cell r="E270" t="str">
            <v>Manoel Vitorino</v>
          </cell>
        </row>
        <row r="271">
          <cell r="E271" t="str">
            <v>Mansidão</v>
          </cell>
        </row>
        <row r="272">
          <cell r="E272" t="str">
            <v>Maracás</v>
          </cell>
        </row>
        <row r="273">
          <cell r="E273" t="str">
            <v>Maragogipe</v>
          </cell>
        </row>
        <row r="274">
          <cell r="E274" t="str">
            <v>Maraú</v>
          </cell>
        </row>
        <row r="275">
          <cell r="E275" t="str">
            <v>Marcionílio Souza</v>
          </cell>
        </row>
        <row r="276">
          <cell r="E276" t="str">
            <v>Mascote</v>
          </cell>
        </row>
        <row r="277">
          <cell r="E277" t="str">
            <v>Mata de São João</v>
          </cell>
        </row>
        <row r="278">
          <cell r="E278" t="str">
            <v>Matina</v>
          </cell>
        </row>
        <row r="279">
          <cell r="E279" t="str">
            <v>Medeiros Neto</v>
          </cell>
        </row>
        <row r="280">
          <cell r="E280" t="str">
            <v>Miguel Calmon</v>
          </cell>
        </row>
        <row r="281">
          <cell r="E281" t="str">
            <v>Milagres</v>
          </cell>
        </row>
        <row r="282">
          <cell r="E282" t="str">
            <v>Mirangaba</v>
          </cell>
        </row>
        <row r="283">
          <cell r="E283" t="str">
            <v>Mirante</v>
          </cell>
        </row>
        <row r="284">
          <cell r="E284" t="str">
            <v>Monte Santo</v>
          </cell>
        </row>
        <row r="285">
          <cell r="E285" t="str">
            <v>Morpará</v>
          </cell>
        </row>
        <row r="286">
          <cell r="E286" t="str">
            <v>Morro do Chapéu</v>
          </cell>
        </row>
        <row r="287">
          <cell r="E287" t="str">
            <v>Mortugaba</v>
          </cell>
        </row>
        <row r="288">
          <cell r="E288" t="str">
            <v>Mucugê</v>
          </cell>
        </row>
        <row r="289">
          <cell r="E289" t="str">
            <v>Mucuri</v>
          </cell>
        </row>
        <row r="290">
          <cell r="E290" t="str">
            <v>Mulungu do Morro</v>
          </cell>
        </row>
        <row r="291">
          <cell r="E291" t="str">
            <v>Mundo Novo</v>
          </cell>
        </row>
        <row r="292">
          <cell r="E292" t="str">
            <v>Muniz Ferreira</v>
          </cell>
        </row>
        <row r="293">
          <cell r="E293" t="str">
            <v>Muquém de São Francisco</v>
          </cell>
        </row>
        <row r="294">
          <cell r="E294" t="str">
            <v>Muritiba</v>
          </cell>
        </row>
        <row r="295">
          <cell r="E295" t="str">
            <v>Mutuípe</v>
          </cell>
        </row>
        <row r="296">
          <cell r="E296" t="str">
            <v>Nazaré</v>
          </cell>
        </row>
        <row r="297">
          <cell r="E297" t="str">
            <v>Nilo Peçanha</v>
          </cell>
        </row>
        <row r="298">
          <cell r="E298" t="str">
            <v>Nordestina</v>
          </cell>
        </row>
        <row r="299">
          <cell r="E299" t="str">
            <v>Nova Canaã</v>
          </cell>
        </row>
        <row r="300">
          <cell r="E300" t="str">
            <v>Nova Fátima</v>
          </cell>
        </row>
        <row r="301">
          <cell r="E301" t="str">
            <v>Nova Ibiá</v>
          </cell>
        </row>
        <row r="302">
          <cell r="E302" t="str">
            <v>Nova Itarana</v>
          </cell>
        </row>
        <row r="303">
          <cell r="E303" t="str">
            <v>Nova Redenção</v>
          </cell>
        </row>
        <row r="304">
          <cell r="E304" t="str">
            <v>Nova Soure</v>
          </cell>
        </row>
        <row r="305">
          <cell r="E305" t="str">
            <v>Nova Viçosa</v>
          </cell>
        </row>
        <row r="306">
          <cell r="E306" t="str">
            <v>Novo Horizonte</v>
          </cell>
        </row>
        <row r="307">
          <cell r="E307" t="str">
            <v>Novo Triunfo</v>
          </cell>
        </row>
        <row r="308">
          <cell r="E308" t="str">
            <v>Olindina</v>
          </cell>
        </row>
        <row r="309">
          <cell r="E309" t="str">
            <v>Oliveira dos Brejinhos</v>
          </cell>
        </row>
        <row r="310">
          <cell r="E310" t="str">
            <v>Ouriçangas</v>
          </cell>
        </row>
        <row r="311">
          <cell r="E311" t="str">
            <v>Ourolândia</v>
          </cell>
        </row>
        <row r="312">
          <cell r="E312" t="str">
            <v>Palmas de Monte Alto</v>
          </cell>
        </row>
        <row r="313">
          <cell r="E313" t="str">
            <v>Palmeiras</v>
          </cell>
        </row>
        <row r="314">
          <cell r="E314" t="str">
            <v>Paramirim</v>
          </cell>
        </row>
        <row r="315">
          <cell r="E315" t="str">
            <v>Paratinga</v>
          </cell>
        </row>
        <row r="316">
          <cell r="E316" t="str">
            <v>Paripiranga</v>
          </cell>
        </row>
        <row r="317">
          <cell r="E317" t="str">
            <v>Pau Brasil</v>
          </cell>
        </row>
        <row r="318">
          <cell r="E318" t="str">
            <v>Paulo Afonso</v>
          </cell>
        </row>
        <row r="319">
          <cell r="E319" t="str">
            <v>Pé de Serra</v>
          </cell>
        </row>
        <row r="320">
          <cell r="E320" t="str">
            <v>Pedrão</v>
          </cell>
        </row>
        <row r="321">
          <cell r="E321" t="str">
            <v>Pedro Alexandre</v>
          </cell>
        </row>
        <row r="322">
          <cell r="E322" t="str">
            <v>Piatã</v>
          </cell>
        </row>
        <row r="323">
          <cell r="E323" t="str">
            <v>Pilão Arcado</v>
          </cell>
        </row>
        <row r="324">
          <cell r="E324" t="str">
            <v>Pindaí</v>
          </cell>
        </row>
        <row r="325">
          <cell r="E325" t="str">
            <v>Pindobaçu</v>
          </cell>
        </row>
        <row r="326">
          <cell r="E326" t="str">
            <v>Pintadas</v>
          </cell>
        </row>
        <row r="327">
          <cell r="E327" t="str">
            <v>Piraí do Norte</v>
          </cell>
        </row>
        <row r="328">
          <cell r="E328" t="str">
            <v>Piripá</v>
          </cell>
        </row>
        <row r="329">
          <cell r="E329" t="str">
            <v>Piritiba</v>
          </cell>
        </row>
        <row r="330">
          <cell r="E330" t="str">
            <v>Planaltino</v>
          </cell>
        </row>
        <row r="331">
          <cell r="E331" t="str">
            <v>Planalto</v>
          </cell>
        </row>
        <row r="332">
          <cell r="E332" t="str">
            <v>Poções</v>
          </cell>
        </row>
        <row r="333">
          <cell r="E333" t="str">
            <v>Pojuca</v>
          </cell>
        </row>
        <row r="334">
          <cell r="E334" t="str">
            <v>Ponto Novo</v>
          </cell>
        </row>
        <row r="335">
          <cell r="E335" t="str">
            <v>Porto Seguro</v>
          </cell>
        </row>
        <row r="336">
          <cell r="E336" t="str">
            <v>Potiraguá</v>
          </cell>
        </row>
        <row r="337">
          <cell r="E337" t="str">
            <v>Prado</v>
          </cell>
        </row>
        <row r="338">
          <cell r="E338" t="str">
            <v>Presidente Dutra</v>
          </cell>
        </row>
        <row r="339">
          <cell r="E339" t="str">
            <v>Presidente Jânio Quadros</v>
          </cell>
        </row>
        <row r="340">
          <cell r="E340" t="str">
            <v>Presidente Tancredo Neves</v>
          </cell>
        </row>
        <row r="341">
          <cell r="E341" t="str">
            <v>Queimadas</v>
          </cell>
        </row>
        <row r="342">
          <cell r="E342" t="str">
            <v>Quijingue</v>
          </cell>
        </row>
        <row r="343">
          <cell r="E343" t="str">
            <v>Quixabeira</v>
          </cell>
        </row>
        <row r="344">
          <cell r="E344" t="str">
            <v>Rafael Jambeiro</v>
          </cell>
        </row>
        <row r="345">
          <cell r="E345" t="str">
            <v>Remanso</v>
          </cell>
        </row>
        <row r="346">
          <cell r="E346" t="str">
            <v>Retirolândia</v>
          </cell>
        </row>
        <row r="347">
          <cell r="E347" t="str">
            <v>Riachão das Neves</v>
          </cell>
        </row>
        <row r="348">
          <cell r="E348" t="str">
            <v>Riachão do Jacuípe</v>
          </cell>
        </row>
        <row r="349">
          <cell r="E349" t="str">
            <v>Riacho de Santana</v>
          </cell>
        </row>
        <row r="350">
          <cell r="E350" t="str">
            <v>Ribeira do Amparo</v>
          </cell>
        </row>
        <row r="351">
          <cell r="E351" t="str">
            <v>Ribeira do Pombal</v>
          </cell>
        </row>
        <row r="352">
          <cell r="E352" t="str">
            <v>Ribeirão do Largo</v>
          </cell>
        </row>
        <row r="353">
          <cell r="E353" t="str">
            <v>Rio de Contas</v>
          </cell>
        </row>
        <row r="354">
          <cell r="E354" t="str">
            <v>Rio do Antônio</v>
          </cell>
        </row>
        <row r="355">
          <cell r="E355" t="str">
            <v>Rio do Pires</v>
          </cell>
        </row>
        <row r="356">
          <cell r="E356" t="str">
            <v>Rio Real</v>
          </cell>
        </row>
        <row r="357">
          <cell r="E357" t="str">
            <v>Rodelas</v>
          </cell>
        </row>
        <row r="358">
          <cell r="E358" t="str">
            <v>Ruy Barbosa</v>
          </cell>
        </row>
        <row r="359">
          <cell r="E359" t="str">
            <v>Salinas da Margarida</v>
          </cell>
        </row>
        <row r="360">
          <cell r="E360" t="str">
            <v>Salvador</v>
          </cell>
        </row>
        <row r="361">
          <cell r="E361" t="str">
            <v>Santa Bárbara</v>
          </cell>
        </row>
        <row r="362">
          <cell r="E362" t="str">
            <v>Santa Brígida</v>
          </cell>
        </row>
        <row r="363">
          <cell r="E363" t="str">
            <v>Santa Cruz Cabrália</v>
          </cell>
        </row>
        <row r="364">
          <cell r="E364" t="str">
            <v>Santa Cruz da Vitória</v>
          </cell>
        </row>
        <row r="365">
          <cell r="E365" t="str">
            <v>Santa Inês</v>
          </cell>
        </row>
        <row r="366">
          <cell r="E366" t="str">
            <v>Santa Luzia</v>
          </cell>
        </row>
        <row r="367">
          <cell r="E367" t="str">
            <v>Santa Maria da Vitória</v>
          </cell>
        </row>
        <row r="368">
          <cell r="E368" t="str">
            <v>Santa Rita de Cássia</v>
          </cell>
        </row>
        <row r="369">
          <cell r="E369" t="str">
            <v>Santa Teresinha</v>
          </cell>
        </row>
        <row r="370">
          <cell r="E370" t="str">
            <v>Santaluz</v>
          </cell>
        </row>
        <row r="371">
          <cell r="E371" t="str">
            <v>Santana</v>
          </cell>
        </row>
        <row r="372">
          <cell r="E372" t="str">
            <v>Santanópolis</v>
          </cell>
        </row>
        <row r="373">
          <cell r="E373" t="str">
            <v>Santo Amaro</v>
          </cell>
        </row>
        <row r="374">
          <cell r="E374" t="str">
            <v>Santo Antônio de Jesus</v>
          </cell>
        </row>
        <row r="375">
          <cell r="E375" t="str">
            <v>Santo Estêvão</v>
          </cell>
        </row>
        <row r="376">
          <cell r="E376" t="str">
            <v>São Desidério</v>
          </cell>
        </row>
        <row r="377">
          <cell r="E377" t="str">
            <v>São Domingos</v>
          </cell>
        </row>
        <row r="378">
          <cell r="E378" t="str">
            <v>São Felipe</v>
          </cell>
        </row>
        <row r="379">
          <cell r="E379" t="str">
            <v>São Félix</v>
          </cell>
        </row>
        <row r="380">
          <cell r="E380" t="str">
            <v>São Félix do Coribe</v>
          </cell>
        </row>
        <row r="381">
          <cell r="E381" t="str">
            <v>São Francisco do Conde</v>
          </cell>
        </row>
        <row r="382">
          <cell r="E382" t="str">
            <v>São Gabriel</v>
          </cell>
        </row>
        <row r="383">
          <cell r="E383" t="str">
            <v>São Gonçalo dos Campos</v>
          </cell>
        </row>
        <row r="384">
          <cell r="E384" t="str">
            <v>São José da Vitória</v>
          </cell>
        </row>
        <row r="385">
          <cell r="E385" t="str">
            <v>São José do Jacuípe</v>
          </cell>
        </row>
        <row r="386">
          <cell r="E386" t="str">
            <v>São Miguel das Matas</v>
          </cell>
        </row>
        <row r="387">
          <cell r="E387" t="str">
            <v>São Sebastião do Passé</v>
          </cell>
        </row>
        <row r="388">
          <cell r="E388" t="str">
            <v>Sapeaçu</v>
          </cell>
        </row>
        <row r="389">
          <cell r="E389" t="str">
            <v>Sátiro Dias</v>
          </cell>
        </row>
        <row r="390">
          <cell r="E390" t="str">
            <v>Saubara</v>
          </cell>
        </row>
        <row r="391">
          <cell r="E391" t="str">
            <v>Saúde</v>
          </cell>
        </row>
        <row r="392">
          <cell r="E392" t="str">
            <v>Seabra</v>
          </cell>
        </row>
        <row r="393">
          <cell r="E393" t="str">
            <v>Sebastião Laranjeiras</v>
          </cell>
        </row>
        <row r="394">
          <cell r="E394" t="str">
            <v>Senhor do Bonfim</v>
          </cell>
        </row>
        <row r="395">
          <cell r="E395" t="str">
            <v>Sento Sé</v>
          </cell>
        </row>
        <row r="396">
          <cell r="E396" t="str">
            <v>Serra do Ramalho</v>
          </cell>
        </row>
        <row r="397">
          <cell r="E397" t="str">
            <v>Serra Dourada</v>
          </cell>
        </row>
        <row r="398">
          <cell r="E398" t="str">
            <v>Serra Preta</v>
          </cell>
        </row>
        <row r="399">
          <cell r="E399" t="str">
            <v>Serrinha</v>
          </cell>
        </row>
        <row r="400">
          <cell r="E400" t="str">
            <v>Serrolândia</v>
          </cell>
        </row>
        <row r="401">
          <cell r="E401" t="str">
            <v>Simões Filho</v>
          </cell>
        </row>
        <row r="402">
          <cell r="E402" t="str">
            <v>Sítio do Mato</v>
          </cell>
        </row>
        <row r="403">
          <cell r="E403" t="str">
            <v>Sítio do Quinto</v>
          </cell>
        </row>
        <row r="404">
          <cell r="E404" t="str">
            <v>Sobradinho</v>
          </cell>
        </row>
        <row r="405">
          <cell r="E405" t="str">
            <v>Souto Soares</v>
          </cell>
        </row>
        <row r="406">
          <cell r="E406" t="str">
            <v>Tabocas do Brejo Velho</v>
          </cell>
        </row>
        <row r="407">
          <cell r="E407" t="str">
            <v>Tanhaçu</v>
          </cell>
        </row>
        <row r="408">
          <cell r="E408" t="str">
            <v>Tanque Novo</v>
          </cell>
        </row>
        <row r="409">
          <cell r="E409" t="str">
            <v>Tanquinho</v>
          </cell>
        </row>
        <row r="410">
          <cell r="E410" t="str">
            <v>Taperoá</v>
          </cell>
        </row>
        <row r="411">
          <cell r="E411" t="str">
            <v>Tapiramutá</v>
          </cell>
        </row>
        <row r="412">
          <cell r="E412" t="str">
            <v>Teixeira de Freitas</v>
          </cell>
        </row>
        <row r="413">
          <cell r="E413" t="str">
            <v>Teodoro Sampaio</v>
          </cell>
        </row>
        <row r="414">
          <cell r="E414" t="str">
            <v>Teofilândia</v>
          </cell>
        </row>
        <row r="415">
          <cell r="E415" t="str">
            <v>Teolândia</v>
          </cell>
        </row>
        <row r="416">
          <cell r="E416" t="str">
            <v>Terra Nova</v>
          </cell>
        </row>
        <row r="417">
          <cell r="E417" t="str">
            <v>Tremedal</v>
          </cell>
        </row>
        <row r="418">
          <cell r="E418" t="str">
            <v>Tucano</v>
          </cell>
        </row>
        <row r="419">
          <cell r="E419" t="str">
            <v>Uauá</v>
          </cell>
        </row>
        <row r="420">
          <cell r="E420" t="str">
            <v>Ubaíra</v>
          </cell>
        </row>
        <row r="421">
          <cell r="E421" t="str">
            <v>Ubaitaba</v>
          </cell>
        </row>
        <row r="422">
          <cell r="E422" t="str">
            <v>Ubatã</v>
          </cell>
        </row>
        <row r="423">
          <cell r="E423" t="str">
            <v>Uibaí</v>
          </cell>
        </row>
        <row r="424">
          <cell r="E424" t="str">
            <v>Umburanas</v>
          </cell>
        </row>
        <row r="425">
          <cell r="E425" t="str">
            <v>Una</v>
          </cell>
        </row>
        <row r="426">
          <cell r="E426" t="str">
            <v>Urandi</v>
          </cell>
        </row>
        <row r="427">
          <cell r="E427" t="str">
            <v>Uruçuca</v>
          </cell>
        </row>
        <row r="428">
          <cell r="E428" t="str">
            <v>Utinga</v>
          </cell>
        </row>
        <row r="429">
          <cell r="E429" t="str">
            <v>Valença</v>
          </cell>
        </row>
        <row r="430">
          <cell r="E430" t="str">
            <v>Valente</v>
          </cell>
        </row>
        <row r="431">
          <cell r="E431" t="str">
            <v>Várzea da Roça</v>
          </cell>
        </row>
        <row r="432">
          <cell r="E432" t="str">
            <v>Várzea do Poço</v>
          </cell>
        </row>
        <row r="433">
          <cell r="E433" t="str">
            <v>Várzea Nova</v>
          </cell>
        </row>
        <row r="434">
          <cell r="E434" t="str">
            <v>Varzedo</v>
          </cell>
        </row>
        <row r="435">
          <cell r="E435" t="str">
            <v>Vera Cruz</v>
          </cell>
        </row>
        <row r="436">
          <cell r="E436" t="str">
            <v>Vereda</v>
          </cell>
        </row>
        <row r="437">
          <cell r="E437" t="str">
            <v>Vitória da Conquista</v>
          </cell>
        </row>
        <row r="438">
          <cell r="E438" t="str">
            <v>Wagner</v>
          </cell>
        </row>
        <row r="439">
          <cell r="E439" t="str">
            <v>Wanderley</v>
          </cell>
        </row>
        <row r="440">
          <cell r="E440" t="str">
            <v>Wenceslau Guimarães</v>
          </cell>
        </row>
        <row r="441">
          <cell r="E441" t="str">
            <v>Xique-Xique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al, Paulo" refreshedDate="44148.568783796298" createdVersion="6" refreshedVersion="6" minRefreshableVersion="3" recordCount="196" xr:uid="{87175162-ABD1-47DB-9F48-2ED0CB135EBD}">
  <cacheSource type="worksheet">
    <worksheetSource ref="B4:AB200" sheet="SNC"/>
  </cacheSource>
  <cacheFields count="27">
    <cacheField name="Item" numFmtId="0">
      <sharedItems containsSemiMixedTypes="0" containsString="0" containsNumber="1" containsInteger="1" minValue="1" maxValue="196"/>
    </cacheField>
    <cacheField name="Jefatura" numFmtId="0">
      <sharedItems/>
    </cacheField>
    <cacheField name="ID_SNC" numFmtId="0">
      <sharedItems/>
    </cacheField>
    <cacheField name="Proyecto" numFmtId="0">
      <sharedItems containsBlank="1" count="10">
        <s v="Baja Altura"/>
        <s v="Rollout"/>
        <s v="RANCO"/>
        <s v="RAN SHARING"/>
        <s v="Cosite 700"/>
        <s v="SWAP + NR"/>
        <s v="Regulatorio APT"/>
        <s v="REUBICACIONES"/>
        <m/>
        <s v="REGULATORIO" u="1"/>
      </sharedItems>
    </cacheField>
    <cacheField name="Site" numFmtId="0">
      <sharedItems containsBlank="1"/>
    </cacheField>
    <cacheField name="Coordinador Entel" numFmtId="0">
      <sharedItems containsBlank="1"/>
    </cacheField>
    <cacheField name="Contratista" numFmtId="0">
      <sharedItems containsBlank="1" count="13">
        <s v="HUAWEI"/>
        <s v="F1 SERVICES"/>
        <s v="CYGTEL"/>
        <s v="SEMI"/>
        <s v="CJ TELECOM"/>
        <s v="ICETEL"/>
        <s v="INCOBECH"/>
        <s v="AJ"/>
        <s v="MERIT"/>
        <s v="STP"/>
        <s v="TELRAD"/>
        <s v="RD TELECOM"/>
        <m/>
      </sharedItems>
    </cacheField>
    <cacheField name="Fecha en que se aplica la SNC" numFmtId="14">
      <sharedItems containsNonDate="0" containsDate="1" containsString="0" containsBlank="1" minDate="2020-01-19T00:00:00" maxDate="2020-10-23T00:00:00"/>
    </cacheField>
    <cacheField name="Detalle de la SNC" numFmtId="0">
      <sharedItems containsBlank="1"/>
    </cacheField>
    <cacheField name="Penalidades a Aplicar" numFmtId="0">
      <sharedItems containsBlank="1"/>
    </cacheField>
    <cacheField name="." numFmtId="0">
      <sharedItems/>
    </cacheField>
    <cacheField name="ID" numFmtId="0">
      <sharedItems containsBlank="1"/>
    </cacheField>
    <cacheField name="Servicio No Conforme" numFmtId="0">
      <sharedItems longText="1"/>
    </cacheField>
    <cacheField name="Severidad SNC" numFmtId="0">
      <sharedItems/>
    </cacheField>
    <cacheField name="Acciones a aplicar" numFmtId="0">
      <sharedItems/>
    </cacheField>
    <cacheField name="Responsable de Acciones a Aplicar" numFmtId="0">
      <sharedItems/>
    </cacheField>
    <cacheField name="Detalle de Penalidad" numFmtId="0">
      <sharedItems containsMixedTypes="1" containsNumber="1" minValue="0.1" maxValue="0.15" longText="1"/>
    </cacheField>
    <cacheField name="Fecha de Levantamiento y Documento SNC" numFmtId="0">
      <sharedItems containsDate="1" containsBlank="1" containsMixedTypes="1" minDate="2020-01-19T00:00:00" maxDate="2020-10-16T00:00:00"/>
    </cacheField>
    <cacheField name="Tiempo de Respuesta" numFmtId="0">
      <sharedItems containsMixedTypes="1" containsNumber="1" containsInteger="1" minValue="-44126" maxValue="17"/>
    </cacheField>
    <cacheField name="Costo del Servicio" numFmtId="164">
      <sharedItems containsString="0" containsBlank="1" containsNumber="1" minValue="0" maxValue="12824.35"/>
    </cacheField>
    <cacheField name="Penalidad x Día" numFmtId="0">
      <sharedItems containsString="0" containsBlank="1" containsNumber="1" minValue="0" maxValue="0.15"/>
    </cacheField>
    <cacheField name="Cantidad de Días a Penalizar" numFmtId="0">
      <sharedItems containsString="0" containsBlank="1" containsNumber="1" containsInteger="1" minValue="0" maxValue="115"/>
    </cacheField>
    <cacheField name="Monto de la Penalidad (Soles)" numFmtId="164">
      <sharedItems containsBlank="1" containsMixedTypes="1" containsNumber="1" minValue="0" maxValue="2564.8700000000003"/>
    </cacheField>
    <cacheField name="Monto Total a Cancelar (Soles)" numFmtId="164">
      <sharedItems containsString="0" containsBlank="1" containsNumber="1" minValue="0" maxValue="10259.48"/>
    </cacheField>
    <cacheField name="Estatus" numFmtId="0">
      <sharedItems containsBlank="1"/>
    </cacheField>
    <cacheField name="Mes en que se aplica la SNC" numFmtId="0">
      <sharedItems count="9">
        <s v="Feb"/>
        <s v="Ene"/>
        <s v="Mar"/>
        <s v="Abr"/>
        <s v="Jun"/>
        <s v="Jul"/>
        <s v="Set"/>
        <s v="Oct"/>
        <s v=""/>
      </sharedItems>
    </cacheField>
    <cacheField name="Detalle de la SNC (Abreviado)" numFmtId="0">
      <sharedItems containsBlank="1" count="14">
        <s v="Cruce de Sectores"/>
        <s v="SST - Mal manejo de Seguridad en el Trabajo"/>
        <s v="Afectación de Servicio"/>
        <s v="Incumplimiento SLA Implementación"/>
        <s v="Incumplimiento SLA Implementación y Calidad de Entregables"/>
        <s v="Preservación y custodia de equipos/activos"/>
        <s v="Incumplimiento en Procedimiento de accesos"/>
        <s v="SST - Errores en el Reporte"/>
        <s v="SST - No se cargo el reporte"/>
        <s v="SST - Team Leader en Torre"/>
        <s v="SST - Caida de Personal"/>
        <s v="SST - Sin Extintor"/>
        <m/>
        <s v="SST"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al, Paulo" refreshedDate="44148.568784027775" createdVersion="6" refreshedVersion="6" minRefreshableVersion="3" recordCount="196" xr:uid="{9451C708-13F9-404A-9B37-C67C04E8B499}">
  <cacheSource type="worksheet">
    <worksheetSource ref="B4:AA200" sheet="SNC"/>
  </cacheSource>
  <cacheFields count="26">
    <cacheField name="Item" numFmtId="0">
      <sharedItems containsSemiMixedTypes="0" containsString="0" containsNumber="1" containsInteger="1" minValue="1" maxValue="196"/>
    </cacheField>
    <cacheField name="Jefatura" numFmtId="0">
      <sharedItems/>
    </cacheField>
    <cacheField name="ID_SNC" numFmtId="0">
      <sharedItems/>
    </cacheField>
    <cacheField name="Proyecto" numFmtId="0">
      <sharedItems containsBlank="1" count="10">
        <s v="Baja Altura"/>
        <s v="Rollout"/>
        <s v="RANCO"/>
        <s v="RAN SHARING"/>
        <s v="Cosite 700"/>
        <s v="SWAP + NR"/>
        <s v="Regulatorio APT"/>
        <s v="REUBICACIONES"/>
        <m/>
        <s v="REGULATORIO" u="1"/>
      </sharedItems>
    </cacheField>
    <cacheField name="Site" numFmtId="0">
      <sharedItems containsBlank="1"/>
    </cacheField>
    <cacheField name="Coordinador Entel" numFmtId="0">
      <sharedItems containsBlank="1"/>
    </cacheField>
    <cacheField name="Contratista" numFmtId="0">
      <sharedItems containsBlank="1" count="13">
        <s v="HUAWEI"/>
        <s v="F1 SERVICES"/>
        <s v="CYGTEL"/>
        <s v="SEMI"/>
        <s v="CJ TELECOM"/>
        <s v="ICETEL"/>
        <s v="INCOBECH"/>
        <s v="AJ"/>
        <s v="MERIT"/>
        <s v="STP"/>
        <s v="TELRAD"/>
        <s v="RD TELECOM"/>
        <m/>
      </sharedItems>
    </cacheField>
    <cacheField name="Fecha en que se aplica la SNC" numFmtId="14">
      <sharedItems containsNonDate="0" containsDate="1" containsString="0" containsBlank="1" minDate="2020-01-19T00:00:00" maxDate="2020-10-23T00:00:00"/>
    </cacheField>
    <cacheField name="Detalle de la SNC" numFmtId="0">
      <sharedItems containsBlank="1"/>
    </cacheField>
    <cacheField name="Penalidades a Aplicar" numFmtId="0">
      <sharedItems containsBlank="1"/>
    </cacheField>
    <cacheField name="." numFmtId="0">
      <sharedItems/>
    </cacheField>
    <cacheField name="ID" numFmtId="0">
      <sharedItems containsBlank="1"/>
    </cacheField>
    <cacheField name="Servicio No Conforme" numFmtId="0">
      <sharedItems longText="1"/>
    </cacheField>
    <cacheField name="Severidad SNC" numFmtId="0">
      <sharedItems/>
    </cacheField>
    <cacheField name="Acciones a aplicar" numFmtId="0">
      <sharedItems/>
    </cacheField>
    <cacheField name="Responsable de Acciones a Aplicar" numFmtId="0">
      <sharedItems/>
    </cacheField>
    <cacheField name="Detalle de Penalidad" numFmtId="0">
      <sharedItems containsMixedTypes="1" containsNumber="1" minValue="0.1" maxValue="0.15" longText="1"/>
    </cacheField>
    <cacheField name="Fecha de Levantamiento y Documento SNC" numFmtId="0">
      <sharedItems containsDate="1" containsBlank="1" containsMixedTypes="1" minDate="2020-01-19T00:00:00" maxDate="2020-10-16T00:00:00"/>
    </cacheField>
    <cacheField name="Tiempo de Respuesta" numFmtId="0">
      <sharedItems containsMixedTypes="1" containsNumber="1" containsInteger="1" minValue="-44126" maxValue="17"/>
    </cacheField>
    <cacheField name="Costo del Servicio" numFmtId="164">
      <sharedItems containsString="0" containsBlank="1" containsNumber="1" minValue="0" maxValue="12824.35"/>
    </cacheField>
    <cacheField name="Penalidad x Día" numFmtId="0">
      <sharedItems containsString="0" containsBlank="1" containsNumber="1" minValue="0" maxValue="0.15"/>
    </cacheField>
    <cacheField name="Cantidad de Días a Penalizar" numFmtId="0">
      <sharedItems containsString="0" containsBlank="1" containsNumber="1" containsInteger="1" minValue="0" maxValue="115"/>
    </cacheField>
    <cacheField name="Monto de la Penalidad (Soles)" numFmtId="164">
      <sharedItems containsBlank="1" containsMixedTypes="1" containsNumber="1" minValue="0" maxValue="2564.8700000000003"/>
    </cacheField>
    <cacheField name="Monto Total a Cancelar (Soles)" numFmtId="164">
      <sharedItems containsString="0" containsBlank="1" containsNumber="1" minValue="0" maxValue="10259.48"/>
    </cacheField>
    <cacheField name="Estatus" numFmtId="0">
      <sharedItems containsBlank="1"/>
    </cacheField>
    <cacheField name="Mes en que se aplica la SNC" numFmtId="0">
      <sharedItems count="9">
        <s v="Feb"/>
        <s v="Ene"/>
        <s v="Mar"/>
        <s v="Abr"/>
        <s v="Jun"/>
        <s v="Jul"/>
        <s v="Set"/>
        <s v="Oct"/>
        <s v=""/>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al, Paulo" refreshedDate="44148.568784374998" createdVersion="6" refreshedVersion="6" minRefreshableVersion="3" recordCount="196" xr:uid="{7BC47FE2-DFF8-41CD-90E6-55BBD434AE79}">
  <cacheSource type="worksheet">
    <worksheetSource ref="B4:Z200" sheet="SNC"/>
  </cacheSource>
  <cacheFields count="25">
    <cacheField name="Item" numFmtId="0">
      <sharedItems containsSemiMixedTypes="0" containsString="0" containsNumber="1" containsInteger="1" minValue="1" maxValue="196"/>
    </cacheField>
    <cacheField name="Jefatura" numFmtId="0">
      <sharedItems/>
    </cacheField>
    <cacheField name="ID_SNC" numFmtId="0">
      <sharedItems/>
    </cacheField>
    <cacheField name="Proyecto" numFmtId="0">
      <sharedItems containsBlank="1" count="12">
        <s v="Baja Altura"/>
        <s v="Rollout"/>
        <s v="RANCO"/>
        <s v="RAN SHARING"/>
        <s v="Cosite 700"/>
        <s v="SWAP + NR"/>
        <s v="Regulatorio APT"/>
        <s v="REUBICACIONES"/>
        <m/>
        <s v="REGULATORIO" u="1"/>
        <s v="Eventos" u="1"/>
        <s v="RNI" u="1"/>
      </sharedItems>
    </cacheField>
    <cacheField name="Site" numFmtId="0">
      <sharedItems containsBlank="1"/>
    </cacheField>
    <cacheField name="Coordinador Entel" numFmtId="0">
      <sharedItems containsBlank="1"/>
    </cacheField>
    <cacheField name="Contratista" numFmtId="0">
      <sharedItems containsBlank="1" count="14">
        <s v="HUAWEI"/>
        <s v="F1 SERVICES"/>
        <s v="CYGTEL"/>
        <s v="SEMI"/>
        <s v="CJ TELECOM"/>
        <s v="ICETEL"/>
        <s v="INCOBECH"/>
        <s v="AJ"/>
        <s v="MERIT"/>
        <s v="STP"/>
        <s v="TELRAD"/>
        <s v="RD TELECOM"/>
        <m/>
        <s v="IyM" u="1"/>
      </sharedItems>
    </cacheField>
    <cacheField name="Fecha en que se aplica la SNC" numFmtId="14">
      <sharedItems containsNonDate="0" containsDate="1" containsString="0" containsBlank="1" minDate="2020-01-19T00:00:00" maxDate="2020-10-23T00:00:00"/>
    </cacheField>
    <cacheField name="Detalle de la SNC" numFmtId="0">
      <sharedItems containsBlank="1"/>
    </cacheField>
    <cacheField name="Penalidades a Aplicar" numFmtId="0">
      <sharedItems containsBlank="1"/>
    </cacheField>
    <cacheField name="." numFmtId="0">
      <sharedItems/>
    </cacheField>
    <cacheField name="ID" numFmtId="0">
      <sharedItems containsBlank="1"/>
    </cacheField>
    <cacheField name="Servicio No Conforme" numFmtId="0">
      <sharedItems longText="1"/>
    </cacheField>
    <cacheField name="Severidad SNC" numFmtId="0">
      <sharedItems count="5">
        <s v="Muy Grave"/>
        <s v="Grave"/>
        <s v="Incumplimiento Mayor"/>
        <s v="Moderada"/>
        <s v=""/>
      </sharedItems>
    </cacheField>
    <cacheField name="Acciones a aplicar" numFmtId="0">
      <sharedItems/>
    </cacheField>
    <cacheField name="Responsable de Acciones a Aplicar" numFmtId="0">
      <sharedItems/>
    </cacheField>
    <cacheField name="Detalle de Penalidad" numFmtId="0">
      <sharedItems containsMixedTypes="1" containsNumber="1" minValue="0.1" maxValue="0.15" longText="1"/>
    </cacheField>
    <cacheField name="Fecha de Levantamiento y Documento SNC" numFmtId="0">
      <sharedItems containsDate="1" containsBlank="1" containsMixedTypes="1" minDate="2020-01-19T00:00:00" maxDate="2020-10-16T00:00:00"/>
    </cacheField>
    <cacheField name="Tiempo de Respuesta" numFmtId="0">
      <sharedItems containsMixedTypes="1" containsNumber="1" containsInteger="1" minValue="-44126" maxValue="17"/>
    </cacheField>
    <cacheField name="Costo del Servicio" numFmtId="164">
      <sharedItems containsString="0" containsBlank="1" containsNumber="1" minValue="0" maxValue="12824.35"/>
    </cacheField>
    <cacheField name="Penalidad x Día" numFmtId="0">
      <sharedItems containsString="0" containsBlank="1" containsNumber="1" minValue="0" maxValue="0.15"/>
    </cacheField>
    <cacheField name="Cantidad de Días a Penalizar" numFmtId="0">
      <sharedItems containsString="0" containsBlank="1" containsNumber="1" containsInteger="1" minValue="0" maxValue="115"/>
    </cacheField>
    <cacheField name="Monto de la Penalidad (Soles)" numFmtId="164">
      <sharedItems containsBlank="1" containsMixedTypes="1" containsNumber="1" minValue="0" maxValue="2564.8700000000003"/>
    </cacheField>
    <cacheField name="Monto Total a Cancelar (Soles)" numFmtId="164">
      <sharedItems containsString="0" containsBlank="1" containsNumber="1" minValue="0" maxValue="10259.48"/>
    </cacheField>
    <cacheField name="Estatu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6">
  <r>
    <n v="1"/>
    <s v="Implementación RAN"/>
    <s v="SNC-001"/>
    <x v="0"/>
    <s v="0135179_LM_Deposito_SAT"/>
    <s v="José Arroyo"/>
    <x v="0"/>
    <d v="2020-02-22T00:00:00"/>
    <s v="Afectacion de Cruce de Sectores fuera de horario Efectivo de Afectacion "/>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3-05T00:00:00"/>
    <n v="12"/>
    <n v="0"/>
    <n v="5.0000000000000001E-4"/>
    <n v="0"/>
    <n v="0"/>
    <n v="0"/>
    <s v="Cerrado"/>
    <x v="0"/>
    <x v="0"/>
  </r>
  <r>
    <n v="2"/>
    <s v="Implementación RAN"/>
    <s v="SNC-002"/>
    <x v="1"/>
    <s v="0134249_LM_El_Condor"/>
    <s v="Ronald Buendia"/>
    <x v="1"/>
    <d v="2020-01-31T00:00:00"/>
    <s v="Cruce de Sectores"/>
    <s v="Macro"/>
    <s v="Penalidad Macro"/>
    <s v="SNC_PROV_08"/>
    <s v="Incumplimiento a la atención de reclamos y no conformidades"/>
    <s v="Grave"/>
    <s v="NC, penalidad, reasignación, veto"/>
    <s v="Coordinador del proyecto"/>
    <s v="0.5% por cada día de retraso del servicio asignado.  De registrarse una segunda vez esta misma deficiencia en dos meses de operación el % ascenderá a 2%,de registrarse una tercera vez el % a penalizar será del 5%, de volverse a registrar estas deficiencias en el periodo de dos  meses  de operación continua, por una cuarta vez se evaluara la continuidad de contratista en el proyecto."/>
    <d v="2020-02-05T00:00:00"/>
    <n v="5"/>
    <n v="11000"/>
    <n v="5.0000000000000001E-3"/>
    <n v="23"/>
    <n v="1265"/>
    <n v="9735"/>
    <s v="Cerrado"/>
    <x v="1"/>
    <x v="0"/>
  </r>
  <r>
    <n v="3"/>
    <s v="Implementación RAN"/>
    <s v="SNC-003"/>
    <x v="2"/>
    <s v="0136041_LM_Citibank"/>
    <s v="Dennis Evangelista"/>
    <x v="0"/>
    <d v="2020-03-30T00:00:00"/>
    <s v="Mal manejo de Seguridad en el trabajo."/>
    <s v="RANCO"/>
    <s v=""/>
    <s v="SNC_PROV_SST_04"/>
    <s v="No adoptar las medidas preventivas aplicables a las condiciones de trabajo de los que se derive un riesgo grave e inminente para la seguridad de los trabajadores."/>
    <s v="Grave"/>
    <s v="NC, penalidad, reasignación, veto"/>
    <s v="Coordinador del proyecto "/>
    <s v="No adoptar las medidas preventivas aplicables a las condiciones de trabajo de los que se derive un riesgo grave e inminente para la seguridad de los trabajadores."/>
    <m/>
    <n v="-43920"/>
    <n v="0"/>
    <n v="5.0000000000000001E-4"/>
    <n v="0"/>
    <n v="0"/>
    <n v="0"/>
    <s v="Cerrado"/>
    <x v="2"/>
    <x v="1"/>
  </r>
  <r>
    <n v="4"/>
    <s v="Implementación RAN"/>
    <s v="SNC-004"/>
    <x v="2"/>
    <s v="0130463_LM_PanNorte_Km33"/>
    <s v="Dennis Evangelista"/>
    <x v="0"/>
    <d v="2020-03-30T00:00:00"/>
    <s v="Afectación de Servicio fuera del Rango de Afectación."/>
    <s v="RANCO"/>
    <s v=""/>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m/>
    <n v="-43920"/>
    <n v="0"/>
    <n v="5.0000000000000001E-4"/>
    <n v="0"/>
    <n v="0"/>
    <n v="0"/>
    <s v="Cerrado"/>
    <x v="2"/>
    <x v="2"/>
  </r>
  <r>
    <n v="5"/>
    <s v="Implementación RAN"/>
    <s v="SNC-005"/>
    <x v="2"/>
    <s v="0136041_LM_Citibank"/>
    <s v="Dennis Evangelista"/>
    <x v="0"/>
    <d v="2020-04-02T00:00:00"/>
    <s v="Afectación de Servicio fuera del Rango de Afectación."/>
    <s v="RANCO"/>
    <s v=""/>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m/>
    <n v="-43923"/>
    <n v="0"/>
    <n v="5.0000000000000001E-4"/>
    <n v="0"/>
    <n v="0"/>
    <n v="0"/>
    <s v="Cerrado"/>
    <x v="3"/>
    <x v="2"/>
  </r>
  <r>
    <n v="6"/>
    <s v="Implementación RAN"/>
    <s v="SNC-006"/>
    <x v="3"/>
    <s v="0134352_AY_Querobamba_Ciudad"/>
    <s v="Rodolfo Barreto"/>
    <x v="2"/>
    <d v="2020-02-14T00:00:00"/>
    <s v="Incumplimiento injustificado en el tiempo máximo de implementación."/>
    <s v="Macro"/>
    <s v="Penalidad Macro"/>
    <s v="SNC_PROV_01"/>
    <s v="Incumplimiento injustificado en el tiempo máximo de implementación."/>
    <s v="Grave"/>
    <s v="NC, penalidad, reasignación, veto"/>
    <s v="Coordinador del proyecto"/>
    <s v="0.5% del precio total de la implementación por día de atraso (con un máximo de 20% dependiendo de la criticidad del sitio implementado)."/>
    <d v="2020-02-24T00:00:00"/>
    <n v="10"/>
    <n v="879.78"/>
    <n v="5.0000000000000001E-3"/>
    <n v="5"/>
    <n v="21.994500000000002"/>
    <n v="857.78549999999996"/>
    <s v="Cerrado"/>
    <x v="0"/>
    <x v="3"/>
  </r>
  <r>
    <n v="7"/>
    <s v="Implementación RAN"/>
    <s v="SNC-007"/>
    <x v="3"/>
    <s v="0132938_AP_Pacobamba"/>
    <s v="Rodolfo Barreto"/>
    <x v="2"/>
    <d v="2020-02-13T00:00:00"/>
    <s v="Incumplimiento injustificado en el tiempo máximo de implementación."/>
    <s v="Macro"/>
    <s v="Penalidad Macro"/>
    <s v="SNC_PROV_01"/>
    <s v="Incumplimiento injustificado en el tiempo máximo de implementación."/>
    <s v="Grave"/>
    <s v="NC, penalidad, reasignación, veto"/>
    <s v="Coordinador del proyecto"/>
    <s v="0.5% del precio total de la implementación por día de atraso (con un máximo de 20% dependiendo de la criticidad del sitio implementado)."/>
    <d v="2020-02-21T00:00:00"/>
    <n v="8"/>
    <n v="463.68"/>
    <n v="5.0000000000000001E-3"/>
    <n v="5"/>
    <n v="11.592000000000001"/>
    <n v="452.08800000000002"/>
    <s v="Cerrado"/>
    <x v="0"/>
    <x v="3"/>
  </r>
  <r>
    <n v="8"/>
    <s v="Implementación RAN"/>
    <s v="SNC-008"/>
    <x v="3"/>
    <s v="0132940_AP_San_Huancaray"/>
    <s v="Rodolfo Barreto"/>
    <x v="2"/>
    <d v="2020-02-12T00:00:00"/>
    <s v="Incumplimiento injustificado en el tiempo máximo de implementación."/>
    <s v="Macro"/>
    <s v="Penalidad Macro"/>
    <s v="SNC_PROV_01"/>
    <s v="Incumplimiento injustificado en el tiempo máximo de implementación."/>
    <s v="Grave"/>
    <s v="NC, penalidad, reasignación, veto"/>
    <s v="Coordinador del proyecto"/>
    <s v="0.5% del precio total de la implementación por día de atraso (con un máximo de 20% dependiendo de la criticidad del sitio implementado)."/>
    <d v="2020-02-24T00:00:00"/>
    <n v="12"/>
    <n v="2964.08"/>
    <n v="5.0000000000000001E-3"/>
    <n v="5"/>
    <n v="74.102000000000004"/>
    <n v="2889.9780000000001"/>
    <s v="Cerrado"/>
    <x v="0"/>
    <x v="3"/>
  </r>
  <r>
    <n v="9"/>
    <s v="Implementación RAN"/>
    <s v="SNC-009"/>
    <x v="3"/>
    <s v="0131576_CA_Cochabamba_Cachacar"/>
    <s v="Rodolfo Barreto"/>
    <x v="2"/>
    <d v="2020-02-12T00:00:00"/>
    <s v="Incumplimiento injustificado en el tiempo máximo de implementación."/>
    <s v="Macro"/>
    <s v="Penalidad Macro"/>
    <s v="SNC_PROV_01"/>
    <s v="Incumplimiento injustificado en el tiempo máximo de implementación."/>
    <s v="Grave"/>
    <s v="NC, penalidad, reasignación, veto"/>
    <s v="Coordinador del proyecto"/>
    <s v="0.5% del precio total de la implementación por día de atraso (con un máximo de 20% dependiendo de la criticidad del sitio implementado)."/>
    <d v="2020-02-29T00:00:00"/>
    <n v="17"/>
    <n v="879.78"/>
    <n v="5.0000000000000001E-3"/>
    <n v="5"/>
    <n v="21.994500000000002"/>
    <n v="857.78549999999996"/>
    <s v="Cerrado"/>
    <x v="0"/>
    <x v="3"/>
  </r>
  <r>
    <n v="10"/>
    <s v="Implementación RAN"/>
    <s v="SNC-010"/>
    <x v="3"/>
    <s v="0130918_AQ_Sihuas"/>
    <s v="Rodolfo Barreto"/>
    <x v="2"/>
    <d v="2020-01-19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1-19T00:00:00"/>
    <n v="0"/>
    <n v="2851.7"/>
    <n v="5.0000000000000001E-4"/>
    <n v="0"/>
    <n v="0"/>
    <n v="2851.7"/>
    <s v="Cerrado"/>
    <x v="1"/>
    <x v="3"/>
  </r>
  <r>
    <n v="11"/>
    <s v="Implementación RAN"/>
    <s v="SNC-011"/>
    <x v="4"/>
    <s v="0130588_LM_Nuevo_Imperial_Pueb"/>
    <s v="Ronald Buendia"/>
    <x v="3"/>
    <d v="2020-06-15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6-17T00:00:00"/>
    <n v="2"/>
    <n v="5739.2556480000003"/>
    <n v="5.0000000000000001E-4"/>
    <n v="45"/>
    <n v="129.13325208000001"/>
    <n v="5610.1223959200006"/>
    <s v="Cerrado"/>
    <x v="4"/>
    <x v="2"/>
  </r>
  <r>
    <n v="12"/>
    <s v="Implementación RAN"/>
    <s v="SNC-012"/>
    <x v="1"/>
    <s v="013252226_LM_Los_Faisanes"/>
    <s v="Ronald Buendia"/>
    <x v="3"/>
    <d v="2020-06-25T00:00:00"/>
    <s v="AFECTACION DE SERVICIO SIN VM PROGRAMADO EN NODO GUL DURANTE 29 MIN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6-24T00:00:00"/>
    <n v="-1"/>
    <n v="5739.2556480000003"/>
    <n v="5.0000000000000001E-4"/>
    <n v="14"/>
    <n v="40.174789536000006"/>
    <n v="5699.0808584639999"/>
    <s v="Cerrado"/>
    <x v="4"/>
    <x v="2"/>
  </r>
  <r>
    <n v="13"/>
    <s v="Implementación RAN"/>
    <s v="SNC-013"/>
    <x v="2"/>
    <s v="0130977_AQ_Cipesac"/>
    <s v="Rodolfo Barreto"/>
    <x v="2"/>
    <d v="2020-06-19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s v="19-06-20"/>
    <n v="0"/>
    <n v="786.09"/>
    <n v="5.0000000000000001E-4"/>
    <n v="0"/>
    <n v="0"/>
    <n v="786.09"/>
    <s v="Cerrado"/>
    <x v="4"/>
    <x v="2"/>
  </r>
  <r>
    <n v="14"/>
    <s v="Implementación RAN"/>
    <s v="SNC-014"/>
    <x v="2"/>
    <s v="0130676_LI_Jose_Bejar"/>
    <s v="Rodolfo Barreto"/>
    <x v="2"/>
    <d v="2020-06-21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s v="21-06-20"/>
    <n v="0"/>
    <n v="5165.33"/>
    <n v="5.0000000000000001E-4"/>
    <n v="83"/>
    <b v="0"/>
    <n v="5165.33"/>
    <s v="Cerrado"/>
    <x v="4"/>
    <x v="2"/>
  </r>
  <r>
    <n v="15"/>
    <s v="Implementación RAN"/>
    <s v="SNC-015"/>
    <x v="2"/>
    <s v="0135521_LM_Prolongaciones"/>
    <s v="Rodolfo Barreto"/>
    <x v="4"/>
    <d v="2020-06-19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s v="19-06-20"/>
    <n v="0"/>
    <n v="3985.59"/>
    <n v="5.0000000000000001E-4"/>
    <n v="115"/>
    <n v="229.17142500000003"/>
    <n v="3756.4185750000001"/>
    <s v="Cerrado"/>
    <x v="4"/>
    <x v="2"/>
  </r>
  <r>
    <n v="16"/>
    <s v="Implementación RAN"/>
    <s v="SNC-016"/>
    <x v="5"/>
    <s v="0130959_AQ_Casa_Blanca_Aqp"/>
    <s v="Ronald Buendia"/>
    <x v="0"/>
    <d v="2020-07-17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7-17T00:00:00"/>
    <n v="0"/>
    <m/>
    <n v="5.0000000000000001E-4"/>
    <m/>
    <m/>
    <m/>
    <s v="Cerrado"/>
    <x v="5"/>
    <x v="2"/>
  </r>
  <r>
    <n v="17"/>
    <s v="Implementación RAN"/>
    <s v="SNC-017"/>
    <x v="5"/>
    <s v="0131039_LA_Super_Belaunde"/>
    <s v="Ronald Buendia"/>
    <x v="0"/>
    <d v="2020-07-21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7-21T00:00:00"/>
    <n v="0"/>
    <m/>
    <n v="5.0000000000000001E-4"/>
    <m/>
    <m/>
    <m/>
    <s v="Cerrado"/>
    <x v="5"/>
    <x v="2"/>
  </r>
  <r>
    <n v="18"/>
    <s v="Implementación RAN"/>
    <s v="SNC-018"/>
    <x v="2"/>
    <s v="0132221_IC_Chavalina"/>
    <s v="Rodolfo Barreto"/>
    <x v="5"/>
    <d v="2020-07-04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7-07T00:00:00"/>
    <n v="3"/>
    <n v="5739.26"/>
    <n v="5.0000000000000001E-4"/>
    <n v="60"/>
    <n v="172.17779999999999"/>
    <n v="5567.0821999999998"/>
    <s v="Cerrado"/>
    <x v="5"/>
    <x v="2"/>
  </r>
  <r>
    <n v="19"/>
    <s v="Implementación RAN"/>
    <s v="SNC-019"/>
    <x v="6"/>
    <s v="0132522_LH_Ripan"/>
    <s v="Ronald Buendia"/>
    <x v="6"/>
    <d v="2020-07-24T00:00:00"/>
    <s v="Cumplimiento en tiempo y calidad de entregables"/>
    <s v="Macro"/>
    <s v="Penalidad Macro"/>
    <s v="SNC_PROV_02"/>
    <s v="Incumplimiento del tiempo de entrega de los Entregables y/o no coinciden con el trabajo realizado."/>
    <s v="Grave"/>
    <s v="NC, penalidad, reasignación, veto"/>
    <s v="Coordinador del proyecto"/>
    <s v="0.5% del precio total por el servicio de  implementación asignado."/>
    <d v="2020-07-24T00:00:00"/>
    <n v="0"/>
    <n v="12824.35"/>
    <n v="5.0000000000000001E-3"/>
    <n v="40"/>
    <n v="2564.8700000000003"/>
    <n v="10259.48"/>
    <m/>
    <x v="5"/>
    <x v="4"/>
  </r>
  <r>
    <n v="20"/>
    <s v="Implementación RAN"/>
    <s v="SNC-020"/>
    <x v="5"/>
    <s v="0130606_LI_El_Alambre"/>
    <s v="Ronald Buendia"/>
    <x v="0"/>
    <d v="2020-07-26T00:00:00"/>
    <s v="Preservación y custodia de equipos/activos"/>
    <s v="Macro"/>
    <s v="Penalidad Macro"/>
    <s v="SNC_PROV_06"/>
    <s v="Daños a activos fijos o inmobiliarios en proceso de implementación"/>
    <s v="Muy Grave"/>
    <s v="NC, penalidad, reasignación, veto"/>
    <s v="Coordinador del proyecto"/>
    <s v="Reposición completa por los daños ocasionados, en caso de reincidencia se cobraría multa del 1% del precio de la implementación en curso, más la reposición completa de  los daños. De registrarse  una tercera vez se analizara la continuidad de la contratista."/>
    <d v="2020-07-26T00:00:00"/>
    <n v="0"/>
    <m/>
    <n v="0"/>
    <m/>
    <n v="0"/>
    <n v="0"/>
    <m/>
    <x v="5"/>
    <x v="5"/>
  </r>
  <r>
    <n v="21"/>
    <s v="Implementación RAN"/>
    <s v="SNC-021"/>
    <x v="5"/>
    <s v="0134126_LI_Libertad"/>
    <s v="Ronald Buendia"/>
    <x v="0"/>
    <d v="2020-07-26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7-26T00:00:00"/>
    <n v="0"/>
    <m/>
    <n v="5.0000000000000001E-4"/>
    <m/>
    <n v="0"/>
    <n v="0"/>
    <m/>
    <x v="5"/>
    <x v="3"/>
  </r>
  <r>
    <n v="22"/>
    <s v="Implementación RAN"/>
    <s v="SNC-022"/>
    <x v="5"/>
    <s v="0136059_LM_Carlos_Anon"/>
    <s v="Ronald Buendia"/>
    <x v="0"/>
    <d v="2020-09-07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07T00:00:00"/>
    <n v="0"/>
    <m/>
    <n v="5.0000000000000001E-4"/>
    <m/>
    <n v="0"/>
    <n v="0"/>
    <m/>
    <x v="6"/>
    <x v="3"/>
  </r>
  <r>
    <n v="23"/>
    <s v="Implementación RAN"/>
    <s v="SNC-023"/>
    <x v="5"/>
    <s v="0130212_LM_PetroPeru"/>
    <s v="Ronald Buendia"/>
    <x v="0"/>
    <d v="2020-09-08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07T00:00:00"/>
    <n v="-1"/>
    <m/>
    <n v="5.0000000000000001E-4"/>
    <m/>
    <n v="0"/>
    <n v="0"/>
    <m/>
    <x v="6"/>
    <x v="3"/>
  </r>
  <r>
    <n v="24"/>
    <s v="Implementación RAN"/>
    <s v="SNC-024"/>
    <x v="5"/>
    <s v="0130042_LM_Cavenecia"/>
    <s v="Ronald Buendia"/>
    <x v="0"/>
    <d v="2020-09-16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07T00:00:00"/>
    <n v="-9"/>
    <m/>
    <n v="5.0000000000000001E-4"/>
    <m/>
    <n v="0"/>
    <n v="0"/>
    <m/>
    <x v="6"/>
    <x v="3"/>
  </r>
  <r>
    <n v="25"/>
    <s v="Implementación RAN"/>
    <s v="SNC-025"/>
    <x v="5"/>
    <s v="0130042_LM_Cavenecia"/>
    <s v="Ronald Buendia"/>
    <x v="0"/>
    <d v="2020-09-16T00:00:00"/>
    <s v="Cumplimiento de procedimientos de acceso"/>
    <s v="Macro"/>
    <s v="Penalidad Macro"/>
    <s v="SNC_PROV_04"/>
    <s v="Incumplimiento de procedimientos de acceso a sites de Entel."/>
    <s v="Muy Grave"/>
    <s v="NC, penalidad, reasignación, veto"/>
    <s v="Coordinador del proyecto"/>
    <s v="5% del precio total del servicio de  implementación asignado. De registrarse una segunda vez esta misma deficiencia en dos meses de operación el % ascenderá a 10%, una tercera vez se analizará la continuidad de la contratista."/>
    <d v="2020-09-17T00:00:00"/>
    <n v="1"/>
    <m/>
    <n v="0.05"/>
    <m/>
    <n v="0"/>
    <n v="0"/>
    <m/>
    <x v="6"/>
    <x v="6"/>
  </r>
  <r>
    <n v="26"/>
    <s v="Implementación RAN"/>
    <s v="SNC-026"/>
    <x v="5"/>
    <s v="0130132_LM_Centro_Empresarial"/>
    <s v="Ronald Buendia"/>
    <x v="0"/>
    <d v="2020-09-16T00:00:00"/>
    <s v="Cumplimiento de procedimientos de acceso"/>
    <s v="Macro"/>
    <s v="Penalidad Macro"/>
    <s v="SNC_PROV_04"/>
    <s v="Incumplimiento de procedimientos de acceso a sites de Entel."/>
    <s v="Muy Grave"/>
    <s v="NC, penalidad, reasignación, veto"/>
    <s v="Coordinador del proyecto"/>
    <s v="5% del precio total del servicio de  implementación asignado. De registrarse una segunda vez esta misma deficiencia en dos meses de operación el % ascenderá a 10%, una tercera vez se analizará la continuidad de la contratista."/>
    <d v="2020-09-17T00:00:00"/>
    <n v="1"/>
    <m/>
    <n v="0.05"/>
    <m/>
    <n v="0"/>
    <n v="0"/>
    <m/>
    <x v="6"/>
    <x v="6"/>
  </r>
  <r>
    <n v="27"/>
    <s v="Implementación RAN"/>
    <s v="SNC-027"/>
    <x v="5"/>
    <s v="0136039_LM_Antequera"/>
    <s v="Ronald Buendia"/>
    <x v="0"/>
    <d v="2020-09-16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24T00:00:00"/>
    <n v="8"/>
    <m/>
    <n v="5.0000000000000001E-4"/>
    <m/>
    <n v="0"/>
    <n v="0"/>
    <m/>
    <x v="6"/>
    <x v="3"/>
  </r>
  <r>
    <n v="28"/>
    <s v="Implementación RAN"/>
    <s v="SNC-028"/>
    <x v="5"/>
    <s v="0134644_LM_C_y_Moreyra_R1"/>
    <s v="Ronald Buendia"/>
    <x v="0"/>
    <d v="2020-09-19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30T00:00:00"/>
    <n v="11"/>
    <m/>
    <n v="5.0000000000000001E-4"/>
    <m/>
    <n v="0"/>
    <n v="0"/>
    <m/>
    <x v="6"/>
    <x v="3"/>
  </r>
  <r>
    <n v="29"/>
    <s v="Implementación RAN"/>
    <s v="SNC-029"/>
    <x v="5"/>
    <s v="0130131_LM_Parodi"/>
    <s v="Ronald Buendia"/>
    <x v="0"/>
    <d v="2020-09-14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30T00:00:00"/>
    <n v="16"/>
    <m/>
    <n v="5.0000000000000001E-4"/>
    <m/>
    <n v="0"/>
    <n v="0"/>
    <m/>
    <x v="6"/>
    <x v="3"/>
  </r>
  <r>
    <n v="30"/>
    <s v="Implementación RAN"/>
    <s v="SNC-030"/>
    <x v="5"/>
    <s v="0136038_LM_Peruval"/>
    <s v="Ronald Buendia"/>
    <x v="0"/>
    <d v="2020-09-30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30T00:00:00"/>
    <n v="0"/>
    <m/>
    <n v="5.0000000000000001E-4"/>
    <m/>
    <n v="0"/>
    <n v="0"/>
    <m/>
    <x v="6"/>
    <x v="3"/>
  </r>
  <r>
    <n v="31"/>
    <s v="Implementación RAN"/>
    <s v="SNC-031"/>
    <x v="5"/>
    <s v="0130025_LM_Arequipa_R1"/>
    <s v="Ronald Buendia"/>
    <x v="0"/>
    <d v="2020-10-01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10-01T00:00:00"/>
    <n v="0"/>
    <m/>
    <n v="5.0000000000000001E-4"/>
    <m/>
    <n v="0"/>
    <n v="0"/>
    <m/>
    <x v="7"/>
    <x v="3"/>
  </r>
  <r>
    <n v="32"/>
    <s v="Implementación RAN"/>
    <s v="SNC-032"/>
    <x v="2"/>
    <s v="0130811_IC_Ocucaje"/>
    <s v="Paulo Vidal"/>
    <x v="0"/>
    <d v="2020-09-28T00:00:00"/>
    <s v="No se subsanó a tiempo el reporte SST y sanitario observado, debido a que los documentos SST adjuntos no correspondían a lo solicitado en la celda Matriz IPERC"/>
    <s v="Rev. Entregables y QA"/>
    <s v=""/>
    <s v="SNC_PROV_51"/>
    <s v="No hacer seguimiento a las contratas que tienen observaciones en la documentación presentada."/>
    <s v="Incumplimiento Mayor"/>
    <s v="NC, penalidad, reasignación, veto"/>
    <s v="Coordinador responsable del servicio"/>
    <s v="3% del monto facturado por el servicio brindado en el mes (monto de Orden de Compra) en que se cometió el incumplimiento."/>
    <s v="Pendiente"/>
    <e v="#VALUE!"/>
    <m/>
    <n v="0.03"/>
    <n v="1"/>
    <n v="0"/>
    <n v="0"/>
    <m/>
    <x v="6"/>
    <x v="7"/>
  </r>
  <r>
    <n v="33"/>
    <s v="Implementación RAN"/>
    <s v="SNC-033"/>
    <x v="2"/>
    <s v="0131029_LA_Santa_Rosa_Lamb"/>
    <s v="Paulo Vidal"/>
    <x v="0"/>
    <d v="2020-09-28T00:00:00"/>
    <s v="No se cargó el reporte SST y sanitario."/>
    <s v="SST"/>
    <s v="Penalidad SST"/>
    <s v="SNC_PROV_SST_16"/>
    <s v="El incumplimiento de las obligaciones de implementar y mantener actualizados los registros o disponer de la documentación que exigen las disposiciones legales vigentes relacionadas con la SST y aquellas que ENTEL disponga."/>
    <s v="Moderada"/>
    <s v="NC, penalidad, reasignación, veto"/>
    <s v="Coordinador del proyecto "/>
    <n v="0.1"/>
    <s v="Pendiente"/>
    <e v="#VALUE!"/>
    <m/>
    <n v="0.1"/>
    <n v="1"/>
    <n v="0"/>
    <n v="0"/>
    <m/>
    <x v="6"/>
    <x v="8"/>
  </r>
  <r>
    <n v="34"/>
    <s v="Implementación RAN"/>
    <s v="SNC-034"/>
    <x v="2"/>
    <s v="0130276_LM_Manuel_Prado"/>
    <s v="Paulo Vidal"/>
    <x v="3"/>
    <d v="2020-09-29T00:00:00"/>
    <s v="Se cargo el reporte SST y sanitario, fuera de hora."/>
    <s v="SST"/>
    <s v="Penalidad SST"/>
    <s v="SNC_PROV_SST_16"/>
    <s v="El incumplimiento de las obligaciones de implementar y mantener actualizados los registros o disponer de la documentación que exigen las disposiciones legales vigentes relacionadas con la SST y aquellas que ENTEL disponga."/>
    <s v="Moderada"/>
    <s v="NC, penalidad, reasignación, veto"/>
    <s v="Coordinador del proyecto "/>
    <n v="0.1"/>
    <s v="Pendiente"/>
    <e v="#VALUE!"/>
    <m/>
    <n v="0.1"/>
    <n v="1"/>
    <n v="0"/>
    <n v="0"/>
    <m/>
    <x v="6"/>
    <x v="8"/>
  </r>
  <r>
    <n v="35"/>
    <s v="Implementación RAN"/>
    <s v="SNC-035"/>
    <x v="2"/>
    <s v="0131029_LA_Santa_Rosa_Lamb"/>
    <s v="Paulo Vidal"/>
    <x v="0"/>
    <d v="2020-10-01T00:00:00"/>
    <s v="No se subsanó a tiempo el reporte SST y sanitario, observado debido a que los documentos SST y las fotos adjuntos no correspondían a lo solicitado en la celda Formato de Checklist de Herramientas."/>
    <s v="Rev. Entregables y QA"/>
    <s v=""/>
    <s v="SNC_PROV_51"/>
    <s v="No hacer seguimiento a las contratas que tienen observaciones en la documentación presentada."/>
    <s v="Incumplimiento Mayor"/>
    <s v="NC, penalidad, reasignación, veto"/>
    <s v="Coordinador responsable del servicio"/>
    <s v="3% del monto facturado por el servicio brindado en el mes (monto de Orden de Compra) en que se cometió el incumplimiento."/>
    <s v="Pendiente"/>
    <e v="#VALUE!"/>
    <m/>
    <n v="0.03"/>
    <n v="1"/>
    <n v="0"/>
    <n v="0"/>
    <m/>
    <x v="7"/>
    <x v="7"/>
  </r>
  <r>
    <n v="36"/>
    <s v="Implementación RAN"/>
    <s v="SNC-036"/>
    <x v="2"/>
    <s v="0132402_CA_Estadio_Jaen"/>
    <s v="Paulo Vidal"/>
    <x v="7"/>
    <d v="2020-10-03T00:00:00"/>
    <s v="Los documentos SST y las fotos adjuntas no corresponden a lo solicitado en la celdas del reporte SST y sanitario."/>
    <s v="Rev. Entregables y QA"/>
    <s v=""/>
    <s v="SNC_PROV_51"/>
    <s v="No hacer seguimiento a las contratas que tienen observaciones en la documentación presentada."/>
    <s v="Incumplimiento Mayor"/>
    <s v="NC, penalidad, reasignación, veto"/>
    <s v="Coordinador responsable del servicio"/>
    <s v="3% del monto facturado por el servicio brindado en el mes (monto de Orden de Compra) en que se cometió el incumplimiento."/>
    <s v="Pendiente"/>
    <e v="#VALUE!"/>
    <m/>
    <n v="0.03"/>
    <n v="1"/>
    <n v="0"/>
    <n v="0"/>
    <m/>
    <x v="7"/>
    <x v="7"/>
  </r>
  <r>
    <n v="37"/>
    <s v="Implementación RAN"/>
    <s v="SNC-037"/>
    <x v="2"/>
    <s v="0130382_LM_Medio_Mundo"/>
    <s v="Paulo Vidal"/>
    <x v="7"/>
    <d v="2020-10-01T00:00:00"/>
    <s v="No tenian ningun documento de seguridad en el sitio, objetando que lo tiene en la movilidad por ser un cerro"/>
    <s v="SST"/>
    <s v="Penalidad SST"/>
    <s v="SNC_PROV_SST_05"/>
    <s v="El incumplimiento de las obligaciones establecidas en las disposiciones relacionadas con la SST, en materia de coordinación entre empresas que desarrollen actividades en un mismo centro de trabajo, cuando se trate de actividades calificadas de alto riesgo."/>
    <s v="Grave"/>
    <s v="NC, penalidad, reasignación, veto"/>
    <s v="Coordinador del proyecto "/>
    <n v="0.15"/>
    <m/>
    <n v="-44105"/>
    <m/>
    <n v="0.15"/>
    <n v="1"/>
    <n v="0"/>
    <n v="0"/>
    <m/>
    <x v="7"/>
    <x v="7"/>
  </r>
  <r>
    <n v="38"/>
    <s v="Implementación RAN"/>
    <s v="SNC-038"/>
    <x v="4"/>
    <s v="0134420_CP_Huariaca"/>
    <s v="Paulo Vidal"/>
    <x v="1"/>
    <d v="2020-10-02T00:00:00"/>
    <s v="Team Leader se encontró trabajando en torre."/>
    <s v="SST"/>
    <s v="Penalidad SST"/>
    <s v="SNC_PROV_SST_05"/>
    <s v="El incumplimiento de las obligaciones establecidas en las disposiciones relacionadas con la SST, en materia de coordinación entre empresas que desarrollen actividades en un mismo centro de trabajo, cuando se trate de actividades calificadas de alto riesgo."/>
    <s v="Grave"/>
    <s v="NC, penalidad, reasignación, veto"/>
    <s v="Coordinador del proyecto "/>
    <n v="0.15"/>
    <m/>
    <n v="-44106"/>
    <m/>
    <n v="0.15"/>
    <n v="1"/>
    <n v="0"/>
    <n v="0"/>
    <m/>
    <x v="7"/>
    <x v="9"/>
  </r>
  <r>
    <n v="39"/>
    <s v="Implementación RAN"/>
    <s v="SNC-039"/>
    <x v="2"/>
    <s v="0130843_IC_Caleta_San_Andres"/>
    <s v="Paulo Vidal"/>
    <x v="0"/>
    <d v="2020-10-07T00:00:00"/>
    <s v="Los documentos SST (formatos check list para herramientas y registro de entrega de EPPs) tienen errores,  fecha pasada y formato incorrecto."/>
    <s v="Rev. Entregables y QA"/>
    <s v=""/>
    <s v="SNC_PROV_51"/>
    <s v="No hacer seguimiento a las contratas que tienen observaciones en la documentación presentada."/>
    <s v="Incumplimiento Mayor"/>
    <s v="NC, penalidad, reasignación, veto"/>
    <s v="Coordinador responsable del servicio"/>
    <s v="3% del monto facturado por el servicio brindado en el mes (monto de Orden de Compra) en que se cometió el incumplimiento."/>
    <m/>
    <n v="-44111"/>
    <m/>
    <n v="0.03"/>
    <m/>
    <m/>
    <m/>
    <m/>
    <x v="7"/>
    <x v="7"/>
  </r>
  <r>
    <n v="40"/>
    <s v="Implementación RAN"/>
    <s v="SNC-040"/>
    <x v="2"/>
    <s v="0130385_LM_Barranca"/>
    <s v="Rodolfo Barreto"/>
    <x v="8"/>
    <d v="2020-09-13T00:00:00"/>
    <s v="Accidente de trabajo. Caida de personal de Torre"/>
    <s v="SST"/>
    <s v="Penalidad SST"/>
    <s v="SNC_PROV_SST_04"/>
    <s v="No adoptar las medidas preventivas aplicables a las condiciones de trabajo de los que se derive un riesgo grave e inminente para la seguridad de los trabajadores."/>
    <s v="Grave"/>
    <s v="NC, penalidad, reasignación, veto"/>
    <s v="Coordinador del proyecto "/>
    <n v="0.15"/>
    <m/>
    <n v="-44087"/>
    <m/>
    <n v="0.15"/>
    <m/>
    <m/>
    <m/>
    <m/>
    <x v="6"/>
    <x v="10"/>
  </r>
  <r>
    <n v="41"/>
    <s v="Implementación RAN"/>
    <s v="SNC-041"/>
    <x v="2"/>
    <s v="0130385_LM_Barranca"/>
    <s v="Rodolfo Barreto"/>
    <x v="8"/>
    <d v="2020-09-13T00:00:00"/>
    <s v="Accidente de trabajo. Caida de personal de Torre"/>
    <s v="SST"/>
    <s v="Penalidad SST"/>
    <s v="SNC_PROV_SST_16"/>
    <s v="El incumplimiento de las obligaciones de implementar y mantener actualizados los registros o disponer de la documentación que exigen las disposiciones legales vigentes relacionadas con la SST y aquellas que ENTEL disponga."/>
    <s v="Moderada"/>
    <s v="NC, penalidad, reasignación, veto"/>
    <s v="Coordinador del proyecto "/>
    <n v="0.1"/>
    <m/>
    <n v="-44087"/>
    <m/>
    <n v="0.1"/>
    <m/>
    <m/>
    <m/>
    <m/>
    <x v="6"/>
    <x v="10"/>
  </r>
  <r>
    <n v="42"/>
    <s v="Implementación RAN"/>
    <s v="SNC-042"/>
    <x v="2"/>
    <s v="0131029_LA_Santa_Rosa_Lamb"/>
    <s v="Paulo Vidal"/>
    <x v="0"/>
    <d v="2020-10-16T00:00:00"/>
    <s v="No se encontró Extintor"/>
    <s v="SST"/>
    <s v="Penalidad SST"/>
    <s v="SNC_PROV_SST_04"/>
    <s v="No adoptar las medidas preventivas aplicables a las condiciones de trabajo de los que se derive un riesgo grave e inminente para la seguridad de los trabajadores."/>
    <s v="Grave"/>
    <s v="NC, penalidad, reasignación, veto"/>
    <s v="Coordinador del proyecto "/>
    <n v="0.15"/>
    <m/>
    <n v="-44120"/>
    <m/>
    <m/>
    <m/>
    <m/>
    <m/>
    <m/>
    <x v="7"/>
    <x v="11"/>
  </r>
  <r>
    <n v="43"/>
    <s v="Implementación RAN"/>
    <s v="SNC-043"/>
    <x v="2"/>
    <s v="0133940_PN_Vitupata_R1"/>
    <s v="Paulo Vidal"/>
    <x v="5"/>
    <d v="2020-10-16T00:00:00"/>
    <s v="Team leader se encontró trabajando en torre y al bajar dejo la linea de vida olvidada._x000a_Adicionalmente, no contaban con extintor."/>
    <s v="SST"/>
    <s v="Penalidad SST"/>
    <s v="SNC_PROV_SST_10"/>
    <s v="No contar con un Ingeniero de SST durante la ejecución del servicio"/>
    <s v="Grave"/>
    <s v="NC, penalidad, reasignación, veto"/>
    <s v="Coordinador del proyecto "/>
    <n v="0.15"/>
    <m/>
    <n v="-44120"/>
    <m/>
    <m/>
    <m/>
    <m/>
    <m/>
    <m/>
    <x v="7"/>
    <x v="9"/>
  </r>
  <r>
    <n v="44"/>
    <s v="Implementación RAN"/>
    <s v="SNC-044"/>
    <x v="2"/>
    <s v="0130843_IC_Caleta_San_Andres"/>
    <s v="Paulo Vidal"/>
    <x v="0"/>
    <d v="2020-10-16T00:00:00"/>
    <s v=" Team Leader se encontró trabajando en torre._x000a_El tecnico evidenció que no tiene claro los procedimientos ante un caso de emergencia."/>
    <s v="SST"/>
    <s v="Penalidad SST"/>
    <s v="SNC_PROV_SST_10"/>
    <s v="No contar con un Ingeniero de SST durante la ejecución del servicio"/>
    <s v="Grave"/>
    <s v="NC, penalidad, reasignación, veto"/>
    <s v="Coordinador del proyecto "/>
    <n v="0.15"/>
    <m/>
    <n v="-44120"/>
    <m/>
    <m/>
    <m/>
    <m/>
    <m/>
    <m/>
    <x v="7"/>
    <x v="9"/>
  </r>
  <r>
    <n v="45"/>
    <s v="Implementación RAN"/>
    <s v="SNC-045"/>
    <x v="7"/>
    <s v="0130056_LM_Santa_Beatriz"/>
    <s v="Paulo Vidal"/>
    <x v="3"/>
    <d v="2020-10-16T00:00:00"/>
    <s v="No contaban con extintor ni botiquin"/>
    <s v="SST"/>
    <s v="Penalidad SST"/>
    <s v="SNC_PROV_SST_04"/>
    <s v="No adoptar las medidas preventivas aplicables a las condiciones de trabajo de los que se derive un riesgo grave e inminente para la seguridad de los trabajadores."/>
    <s v="Grave"/>
    <s v="NC, penalidad, reasignación, veto"/>
    <s v="Coordinador del proyecto "/>
    <n v="0.15"/>
    <m/>
    <n v="-44120"/>
    <m/>
    <m/>
    <m/>
    <m/>
    <m/>
    <m/>
    <x v="7"/>
    <x v="11"/>
  </r>
  <r>
    <n v="46"/>
    <s v="Implementación RAN"/>
    <s v="SNC-046"/>
    <x v="2"/>
    <s v="0130386_LM_Huaura"/>
    <s v="Paulo Vidal"/>
    <x v="3"/>
    <d v="2020-10-16T00:00:00"/>
    <s v="No contaban con extintor en sitio."/>
    <s v="SST"/>
    <s v="Penalidad SST"/>
    <s v="SNC_PROV_SST_04"/>
    <s v="No adoptar las medidas preventivas aplicables a las condiciones de trabajo de los que se derive un riesgo grave e inminente para la seguridad de los trabajadores."/>
    <s v="Grave"/>
    <s v="NC, penalidad, reasignación, veto"/>
    <s v="Coordinador del proyecto "/>
    <n v="0.15"/>
    <m/>
    <n v="-44120"/>
    <m/>
    <m/>
    <m/>
    <m/>
    <m/>
    <m/>
    <x v="7"/>
    <x v="11"/>
  </r>
  <r>
    <n v="47"/>
    <s v="Implementación RAN"/>
    <s v="SNC-047"/>
    <x v="2"/>
    <s v="0130824_IC_Pisco_Centro"/>
    <s v="Paulo Vidal"/>
    <x v="7"/>
    <d v="2020-10-16T00:00:00"/>
    <s v="No contaban con extintor ni botiquin"/>
    <s v="SST"/>
    <s v="Penalidad SST"/>
    <s v="SNC_PROV_SST_04"/>
    <s v="No adoptar las medidas preventivas aplicables a las condiciones de trabajo de los que se derive un riesgo grave e inminente para la seguridad de los trabajadores."/>
    <s v="Grave"/>
    <s v="NC, penalidad, reasignación, veto"/>
    <s v="Coordinador del proyecto "/>
    <n v="0.15"/>
    <m/>
    <n v="-44120"/>
    <m/>
    <m/>
    <m/>
    <m/>
    <m/>
    <m/>
    <x v="7"/>
    <x v="11"/>
  </r>
  <r>
    <n v="48"/>
    <s v="Implementación RAN"/>
    <s v="SNC-048"/>
    <x v="2"/>
    <s v="PI_Paredes_Maceda-S3"/>
    <s v="Rodolfo Barreto"/>
    <x v="0"/>
    <d v="2020-09-04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04T00:00:00"/>
    <n v="0"/>
    <n v="5985.26"/>
    <n v="5.0000000000000001E-4"/>
    <n v="115"/>
    <n v="344.15245000000004"/>
    <n v="5641.1075500000006"/>
    <s v="Cerrado"/>
    <x v="6"/>
    <x v="2"/>
  </r>
  <r>
    <n v="49"/>
    <s v="Implementación RAN"/>
    <s v="SNC-049"/>
    <x v="2"/>
    <s v="AQ_Alto_Cayma-S1"/>
    <s v="Rodolfo Barreto"/>
    <x v="9"/>
    <d v="2020-09-11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11T00:00:00"/>
    <n v="0"/>
    <n v="7059.5"/>
    <n v="5.0000000000000001E-4"/>
    <n v="115"/>
    <n v="405.92125000000004"/>
    <n v="6653.5787499999997"/>
    <s v="Cerrado"/>
    <x v="6"/>
    <x v="2"/>
  </r>
  <r>
    <n v="50"/>
    <s v="Implementación RAN"/>
    <s v="SNC-050"/>
    <x v="2"/>
    <s v="PI_Catacaos-S3"/>
    <s v="Rodolfo Barreto"/>
    <x v="7"/>
    <d v="2020-09-10T00:00:00"/>
    <s v="Afectacion de Servicio no programada, sin MOP de afectacion para el trabajo a realizar."/>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10T00:00:00"/>
    <n v="0"/>
    <n v="5739.26"/>
    <n v="5.0000000000000001E-4"/>
    <n v="115"/>
    <n v="330.00745000000001"/>
    <n v="5409.2525500000002"/>
    <s v="Cerrado"/>
    <x v="6"/>
    <x v="2"/>
  </r>
  <r>
    <n v="51"/>
    <s v="Implementación RAN"/>
    <s v="SNC-051"/>
    <x v="2"/>
    <s v="134528_LM_Vilcahuaura-S2"/>
    <s v="Rodolfo Barreto"/>
    <x v="10"/>
    <d v="2020-09-14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14T00:00:00"/>
    <n v="0"/>
    <n v="5739.26"/>
    <n v="5.0000000000000001E-4"/>
    <n v="115"/>
    <n v="330.00745000000001"/>
    <n v="5409.2525500000002"/>
    <s v="Cerrado"/>
    <x v="6"/>
    <x v="2"/>
  </r>
  <r>
    <n v="52"/>
    <s v="Implementación RAN"/>
    <s v="SNC-052"/>
    <x v="2"/>
    <s v="PI_Chulucanas-S1"/>
    <s v="Rodolfo Barreto"/>
    <x v="11"/>
    <d v="2020-09-27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27T00:00:00"/>
    <n v="0"/>
    <n v="5719.46"/>
    <n v="5.0000000000000001E-4"/>
    <n v="115"/>
    <n v="328.86895000000004"/>
    <n v="5390.59105"/>
    <s v="Cerrado"/>
    <x v="6"/>
    <x v="2"/>
  </r>
  <r>
    <n v="53"/>
    <s v="Implementación RAN"/>
    <s v="SNC-053"/>
    <x v="2"/>
    <s v="0131736_PI_Cerezal"/>
    <s v="Rodolfo Barreto"/>
    <x v="6"/>
    <d v="2020-10-10T00:00:00"/>
    <s v="Afectacion de Servicio no programada."/>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10-10T00:00:00"/>
    <n v="0"/>
    <n v="5739.26"/>
    <n v="5.0000000000000001E-4"/>
    <n v="0"/>
    <n v="0"/>
    <n v="5739.26"/>
    <s v="Cerrado"/>
    <x v="7"/>
    <x v="2"/>
  </r>
  <r>
    <n v="54"/>
    <s v="Implementación RAN"/>
    <s v="SNC-054"/>
    <x v="2"/>
    <s v="0130386_LM_Huaura"/>
    <s v="Rodolfo Barreto"/>
    <x v="3"/>
    <d v="2020-10-14T00:00:00"/>
    <s v="Afectacion de Servicio no programada."/>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10-14T00:00:00"/>
    <n v="0"/>
    <n v="5739.26"/>
    <n v="5.0000000000000001E-4"/>
    <n v="42"/>
    <n v="120.52446000000002"/>
    <n v="5618.7355400000006"/>
    <s v="Cerrado"/>
    <x v="7"/>
    <x v="2"/>
  </r>
  <r>
    <n v="55"/>
    <s v="Implementación RAN"/>
    <s v="SNC-055"/>
    <x v="2"/>
    <s v="0130382_LM_Medio_Mundo"/>
    <s v="Rodolfo Barreto"/>
    <x v="7"/>
    <d v="2020-10-01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10-01T00:00:00"/>
    <n v="0"/>
    <n v="5739.26"/>
    <n v="5.0000000000000001E-4"/>
    <n v="0"/>
    <n v="0"/>
    <n v="0"/>
    <s v="Cerrado"/>
    <x v="7"/>
    <x v="2"/>
  </r>
  <r>
    <n v="56"/>
    <s v="Implementación RAN"/>
    <s v="SNC-056"/>
    <x v="2"/>
    <s v="0130824_IC_Pisco_Centro"/>
    <s v="Rodolfo Barreto"/>
    <x v="7"/>
    <d v="2020-10-15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10-15T00:00:00"/>
    <n v="0"/>
    <n v="5739.26"/>
    <n v="5.0000000000000001E-4"/>
    <n v="34"/>
    <n v="97.567420000000013"/>
    <n v="5641.6925799999999"/>
    <s v="Cerrado"/>
    <x v="7"/>
    <x v="2"/>
  </r>
  <r>
    <n v="57"/>
    <s v="Implementación RAN"/>
    <s v="SNC-057"/>
    <x v="2"/>
    <s v="0130529_LM_Diciembre_11"/>
    <s v="Rodolfo Barreto"/>
    <x v="11"/>
    <d v="2020-10-15T00:00:00"/>
    <s v="Afectacion de Servicio no programada."/>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10-15T00:00:00"/>
    <n v="0"/>
    <n v="5739.26"/>
    <n v="5.0000000000000001E-4"/>
    <n v="51"/>
    <n v="146.35113000000001"/>
    <n v="5592.9088700000002"/>
    <s v="Cerrado"/>
    <x v="7"/>
    <x v="2"/>
  </r>
  <r>
    <n v="58"/>
    <s v="Implementación RAN"/>
    <s v="SNC-058"/>
    <x v="5"/>
    <s v="0130025_LM_Arequipa_R1"/>
    <s v="Ronald Buendia"/>
    <x v="0"/>
    <d v="2020-10-22T00:00:00"/>
    <s v="Afectación de Servicio fuera del Rango de Afectación."/>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m/>
    <n v="-44126"/>
    <m/>
    <m/>
    <m/>
    <m/>
    <m/>
    <m/>
    <x v="7"/>
    <x v="2"/>
  </r>
  <r>
    <n v="59"/>
    <s v="Implementación RAN"/>
    <s v="SNC-059"/>
    <x v="2"/>
    <s v="0132758_LM_Villa_Industrial_R1"/>
    <s v="Paulo Vidal"/>
    <x v="0"/>
    <d v="2020-10-15T00:00:00"/>
    <s v="Se evidencia en el reporte sst y sanitario que solo hay 02 personas en sitio a pesar de ser un trabajo de adecuación, adicional a ello falta foto del kit de protección, credenciales y toma de temperatura y declaración jurada solo hay de 01 personal."/>
    <s v="Rev. Entregables y QA"/>
    <s v=""/>
    <s v="SNC_PROV_51"/>
    <s v="No hacer seguimiento a las contratas que tienen observaciones en la documentación presentada."/>
    <s v="Incumplimiento Mayor"/>
    <s v="NC, penalidad, reasignación, veto"/>
    <s v="Coordinador responsable del servicio"/>
    <s v="3% del monto facturado por el servicio brindado en el mes (monto de Orden de Compra) en que se cometió el incumplimiento."/>
    <m/>
    <n v="-44119"/>
    <m/>
    <m/>
    <m/>
    <m/>
    <m/>
    <m/>
    <x v="7"/>
    <x v="7"/>
  </r>
  <r>
    <n v="60"/>
    <s v="Implementación RAN"/>
    <s v="SNC-060"/>
    <x v="2"/>
    <s v="0133789_PI_Cow_Fundo_Rapel"/>
    <s v="Paulo Vidal"/>
    <x v="7"/>
    <d v="2020-10-16T00:00:00"/>
    <s v="En el reporte SST y sanitario, el formato SST está incompleto ( falta el formato de inspección de arnés de 01 personal)."/>
    <s v="Rev. Entregables y QA"/>
    <s v=""/>
    <s v="SNC_PROV_51"/>
    <s v="No hacer seguimiento a las contratas que tienen observaciones en la documentación presentada."/>
    <s v="Incumplimiento Mayor"/>
    <s v="NC, penalidad, reasignación, veto"/>
    <s v="Coordinador responsable del servicio"/>
    <s v="3% del monto facturado por el servicio brindado en el mes (monto de Orden de Compra) en que se cometió el incumplimiento."/>
    <m/>
    <n v="-44120"/>
    <m/>
    <m/>
    <m/>
    <m/>
    <m/>
    <m/>
    <x v="7"/>
    <x v="7"/>
  </r>
  <r>
    <n v="61"/>
    <s v="Implementación RAN"/>
    <s v="SNC-061"/>
    <x v="2"/>
    <s v="0133288_PI_Cow_Rapel"/>
    <s v="Paulo Vidal"/>
    <x v="7"/>
    <d v="2020-10-16T00:00:00"/>
    <s v="En el reporte SST y sanitario, los formatos SST están incompletos (falta formato de registro de entrega de EPP y el formato de inspección de arnés de 01 persona)"/>
    <s v="Rev. Entregables y QA"/>
    <s v=""/>
    <s v="SNC_PROV_51"/>
    <s v="No hacer seguimiento a las contratas que tienen observaciones en la documentación presentada."/>
    <s v="Incumplimiento Mayor"/>
    <s v="NC, penalidad, reasignación, veto"/>
    <s v="Coordinador responsable del servicio"/>
    <s v="3% del monto facturado por el servicio brindado en el mes (monto de Orden de Compra) en que se cometió el incumplimiento."/>
    <m/>
    <n v="-44120"/>
    <m/>
    <m/>
    <m/>
    <m/>
    <m/>
    <m/>
    <x v="7"/>
    <x v="7"/>
  </r>
  <r>
    <n v="62"/>
    <s v="Implementación RAN"/>
    <s v="SNC-062"/>
    <x v="1"/>
    <s v="010351071_UY_Noe_Fachin"/>
    <s v="Paulo Vidal"/>
    <x v="2"/>
    <d v="2020-10-13T00:00:00"/>
    <s v="En el reporte sst y sanitario no indicaron quien es prevencionista, foto de la desinfección de las herramientas es incorrecta y falta la declaración jurada de 01 personal de campo."/>
    <s v="Rev. Entregables y QA"/>
    <s v=""/>
    <s v="SNC_PROV_51"/>
    <s v="No hacer seguimiento a las contratas que tienen observaciones en la documentación presentada."/>
    <s v="Incumplimiento Mayor"/>
    <s v="NC, penalidad, reasignación, veto"/>
    <s v="Coordinador responsable del servicio"/>
    <s v="3% del monto facturado por el servicio brindado en el mes (monto de Orden de Compra) en que se cometió el incumplimiento."/>
    <m/>
    <n v="-44117"/>
    <m/>
    <m/>
    <m/>
    <m/>
    <m/>
    <m/>
    <x v="7"/>
    <x v="7"/>
  </r>
  <r>
    <n v="63"/>
    <s v="Implementación RAN"/>
    <s v="SNC-063"/>
    <x v="2"/>
    <s v="0134435_CP_Paragsha"/>
    <s v="Paulo Vidal"/>
    <x v="2"/>
    <d v="2020-10-15T00:00:00"/>
    <s v="Falta un documento SST en el reporte SST y sanitario (no figura la charla de 5 minutos)."/>
    <s v="Rev. Entregables y QA"/>
    <s v=""/>
    <s v="SNC_PROV_51"/>
    <s v="No hacer seguimiento a las contratas que tienen observaciones en la documentación presentada."/>
    <s v="Incumplimiento Mayor"/>
    <s v="NC, penalidad, reasignación, veto"/>
    <s v="Coordinador responsable del servicio"/>
    <s v="3% del monto facturado por el servicio brindado en el mes (monto de Orden de Compra) en que se cometió el incumplimiento."/>
    <m/>
    <n v="-44119"/>
    <m/>
    <m/>
    <m/>
    <m/>
    <m/>
    <m/>
    <x v="7"/>
    <x v="7"/>
  </r>
  <r>
    <n v="64"/>
    <s v="Implementación RAN"/>
    <s v="SNC-064"/>
    <x v="8"/>
    <m/>
    <m/>
    <x v="12"/>
    <m/>
    <m/>
    <m/>
    <s v=""/>
    <m/>
    <s v=""/>
    <s v=""/>
    <s v=""/>
    <s v=""/>
    <s v=""/>
    <m/>
    <n v="0"/>
    <m/>
    <m/>
    <m/>
    <m/>
    <m/>
    <m/>
    <x v="8"/>
    <x v="12"/>
  </r>
  <r>
    <n v="65"/>
    <s v="Implementación RAN"/>
    <s v="SNC-065"/>
    <x v="8"/>
    <m/>
    <m/>
    <x v="12"/>
    <m/>
    <m/>
    <m/>
    <s v=""/>
    <m/>
    <s v=""/>
    <s v=""/>
    <s v=""/>
    <s v=""/>
    <s v=""/>
    <m/>
    <n v="0"/>
    <m/>
    <m/>
    <m/>
    <m/>
    <m/>
    <m/>
    <x v="8"/>
    <x v="12"/>
  </r>
  <r>
    <n v="66"/>
    <s v="Implementación RAN"/>
    <s v="SNC-066"/>
    <x v="8"/>
    <m/>
    <m/>
    <x v="12"/>
    <m/>
    <m/>
    <m/>
    <s v=""/>
    <m/>
    <s v=""/>
    <s v=""/>
    <s v=""/>
    <s v=""/>
    <s v=""/>
    <m/>
    <n v="0"/>
    <m/>
    <m/>
    <m/>
    <m/>
    <m/>
    <m/>
    <x v="8"/>
    <x v="12"/>
  </r>
  <r>
    <n v="67"/>
    <s v="Implementación RAN"/>
    <s v="SNC-067"/>
    <x v="8"/>
    <m/>
    <m/>
    <x v="12"/>
    <m/>
    <m/>
    <m/>
    <s v=""/>
    <m/>
    <s v=""/>
    <s v=""/>
    <s v=""/>
    <s v=""/>
    <s v=""/>
    <m/>
    <n v="0"/>
    <m/>
    <m/>
    <m/>
    <m/>
    <m/>
    <m/>
    <x v="8"/>
    <x v="12"/>
  </r>
  <r>
    <n v="68"/>
    <s v="Implementación RAN"/>
    <s v="SNC-068"/>
    <x v="8"/>
    <m/>
    <m/>
    <x v="12"/>
    <m/>
    <m/>
    <m/>
    <s v=""/>
    <m/>
    <s v=""/>
    <s v=""/>
    <s v=""/>
    <s v=""/>
    <s v=""/>
    <m/>
    <n v="0"/>
    <m/>
    <m/>
    <m/>
    <m/>
    <m/>
    <m/>
    <x v="8"/>
    <x v="12"/>
  </r>
  <r>
    <n v="69"/>
    <s v="Implementación RAN"/>
    <s v="SNC-069"/>
    <x v="8"/>
    <m/>
    <m/>
    <x v="12"/>
    <m/>
    <m/>
    <m/>
    <s v=""/>
    <m/>
    <s v=""/>
    <s v=""/>
    <s v=""/>
    <s v=""/>
    <s v=""/>
    <m/>
    <n v="0"/>
    <m/>
    <m/>
    <m/>
    <m/>
    <m/>
    <m/>
    <x v="8"/>
    <x v="12"/>
  </r>
  <r>
    <n v="70"/>
    <s v="Implementación RAN"/>
    <s v="SNC-070"/>
    <x v="8"/>
    <m/>
    <m/>
    <x v="12"/>
    <m/>
    <m/>
    <m/>
    <s v=""/>
    <m/>
    <s v=""/>
    <s v=""/>
    <s v=""/>
    <s v=""/>
    <s v=""/>
    <m/>
    <n v="0"/>
    <m/>
    <m/>
    <m/>
    <m/>
    <m/>
    <m/>
    <x v="8"/>
    <x v="12"/>
  </r>
  <r>
    <n v="71"/>
    <s v="Implementación RAN"/>
    <s v="SNC-071"/>
    <x v="8"/>
    <m/>
    <m/>
    <x v="12"/>
    <m/>
    <m/>
    <m/>
    <s v=""/>
    <m/>
    <s v=""/>
    <s v=""/>
    <s v=""/>
    <s v=""/>
    <s v=""/>
    <m/>
    <n v="0"/>
    <m/>
    <m/>
    <m/>
    <m/>
    <m/>
    <m/>
    <x v="8"/>
    <x v="12"/>
  </r>
  <r>
    <n v="72"/>
    <s v="Implementación RAN"/>
    <s v="SNC-072"/>
    <x v="8"/>
    <m/>
    <m/>
    <x v="12"/>
    <m/>
    <m/>
    <m/>
    <s v=""/>
    <m/>
    <s v=""/>
    <s v=""/>
    <s v=""/>
    <s v=""/>
    <s v=""/>
    <m/>
    <n v="0"/>
    <m/>
    <m/>
    <m/>
    <m/>
    <m/>
    <m/>
    <x v="8"/>
    <x v="12"/>
  </r>
  <r>
    <n v="73"/>
    <s v="Implementación RAN"/>
    <s v="SNC-073"/>
    <x v="8"/>
    <m/>
    <m/>
    <x v="12"/>
    <m/>
    <m/>
    <m/>
    <s v=""/>
    <m/>
    <s v=""/>
    <s v=""/>
    <s v=""/>
    <s v=""/>
    <s v=""/>
    <m/>
    <n v="0"/>
    <m/>
    <m/>
    <m/>
    <m/>
    <m/>
    <m/>
    <x v="8"/>
    <x v="12"/>
  </r>
  <r>
    <n v="74"/>
    <s v="Implementación RAN"/>
    <s v="SNC-074"/>
    <x v="8"/>
    <m/>
    <m/>
    <x v="12"/>
    <m/>
    <m/>
    <m/>
    <s v=""/>
    <m/>
    <s v=""/>
    <s v=""/>
    <s v=""/>
    <s v=""/>
    <s v=""/>
    <m/>
    <n v="0"/>
    <m/>
    <m/>
    <m/>
    <m/>
    <m/>
    <m/>
    <x v="8"/>
    <x v="12"/>
  </r>
  <r>
    <n v="75"/>
    <s v="Implementación RAN"/>
    <s v="SNC-075"/>
    <x v="8"/>
    <m/>
    <m/>
    <x v="12"/>
    <m/>
    <m/>
    <m/>
    <s v=""/>
    <m/>
    <s v=""/>
    <s v=""/>
    <s v=""/>
    <s v=""/>
    <s v=""/>
    <m/>
    <n v="0"/>
    <m/>
    <m/>
    <m/>
    <m/>
    <m/>
    <m/>
    <x v="8"/>
    <x v="12"/>
  </r>
  <r>
    <n v="76"/>
    <s v="Implementación RAN"/>
    <s v="SNC-076"/>
    <x v="8"/>
    <m/>
    <m/>
    <x v="12"/>
    <m/>
    <m/>
    <m/>
    <s v=""/>
    <m/>
    <s v=""/>
    <s v=""/>
    <s v=""/>
    <s v=""/>
    <s v=""/>
    <m/>
    <n v="0"/>
    <m/>
    <m/>
    <m/>
    <m/>
    <m/>
    <m/>
    <x v="8"/>
    <x v="12"/>
  </r>
  <r>
    <n v="77"/>
    <s v="Implementación RAN"/>
    <s v="SNC-077"/>
    <x v="8"/>
    <m/>
    <m/>
    <x v="12"/>
    <m/>
    <m/>
    <m/>
    <s v=""/>
    <m/>
    <s v=""/>
    <s v=""/>
    <s v=""/>
    <s v=""/>
    <s v=""/>
    <m/>
    <n v="0"/>
    <m/>
    <m/>
    <m/>
    <m/>
    <m/>
    <m/>
    <x v="8"/>
    <x v="12"/>
  </r>
  <r>
    <n v="78"/>
    <s v="Implementación RAN"/>
    <s v="SNC-078"/>
    <x v="8"/>
    <m/>
    <m/>
    <x v="12"/>
    <m/>
    <m/>
    <m/>
    <s v=""/>
    <m/>
    <s v=""/>
    <s v=""/>
    <s v=""/>
    <s v=""/>
    <s v=""/>
    <m/>
    <n v="0"/>
    <m/>
    <m/>
    <m/>
    <m/>
    <m/>
    <m/>
    <x v="8"/>
    <x v="12"/>
  </r>
  <r>
    <n v="79"/>
    <s v="Implementación RAN"/>
    <s v="SNC-079"/>
    <x v="8"/>
    <m/>
    <m/>
    <x v="12"/>
    <m/>
    <m/>
    <m/>
    <s v=""/>
    <m/>
    <s v=""/>
    <s v=""/>
    <s v=""/>
    <s v=""/>
    <s v=""/>
    <m/>
    <n v="0"/>
    <m/>
    <m/>
    <m/>
    <m/>
    <m/>
    <m/>
    <x v="8"/>
    <x v="12"/>
  </r>
  <r>
    <n v="80"/>
    <s v="Implementación RAN"/>
    <s v="SNC-080"/>
    <x v="8"/>
    <m/>
    <m/>
    <x v="12"/>
    <m/>
    <m/>
    <m/>
    <s v=""/>
    <m/>
    <s v=""/>
    <s v=""/>
    <s v=""/>
    <s v=""/>
    <s v=""/>
    <m/>
    <n v="0"/>
    <m/>
    <m/>
    <m/>
    <m/>
    <m/>
    <m/>
    <x v="8"/>
    <x v="12"/>
  </r>
  <r>
    <n v="81"/>
    <s v="Implementación RAN"/>
    <s v="SNC-081"/>
    <x v="8"/>
    <m/>
    <m/>
    <x v="12"/>
    <m/>
    <m/>
    <m/>
    <s v=""/>
    <m/>
    <s v=""/>
    <s v=""/>
    <s v=""/>
    <s v=""/>
    <s v=""/>
    <m/>
    <n v="0"/>
    <m/>
    <m/>
    <m/>
    <m/>
    <m/>
    <m/>
    <x v="8"/>
    <x v="12"/>
  </r>
  <r>
    <n v="82"/>
    <s v="Implementación RAN"/>
    <s v="SNC-082"/>
    <x v="8"/>
    <m/>
    <m/>
    <x v="12"/>
    <m/>
    <m/>
    <m/>
    <s v=""/>
    <m/>
    <s v=""/>
    <s v=""/>
    <s v=""/>
    <s v=""/>
    <s v=""/>
    <m/>
    <n v="0"/>
    <m/>
    <m/>
    <m/>
    <m/>
    <m/>
    <m/>
    <x v="8"/>
    <x v="12"/>
  </r>
  <r>
    <n v="83"/>
    <s v="Implementación RAN"/>
    <s v="SNC-083"/>
    <x v="8"/>
    <m/>
    <m/>
    <x v="12"/>
    <m/>
    <m/>
    <m/>
    <s v=""/>
    <m/>
    <s v=""/>
    <s v=""/>
    <s v=""/>
    <s v=""/>
    <s v=""/>
    <m/>
    <n v="0"/>
    <m/>
    <m/>
    <m/>
    <m/>
    <m/>
    <m/>
    <x v="8"/>
    <x v="12"/>
  </r>
  <r>
    <n v="84"/>
    <s v="Implementación RAN"/>
    <s v="SNC-084"/>
    <x v="8"/>
    <m/>
    <m/>
    <x v="12"/>
    <m/>
    <m/>
    <m/>
    <s v=""/>
    <m/>
    <s v=""/>
    <s v=""/>
    <s v=""/>
    <s v=""/>
    <s v=""/>
    <m/>
    <n v="0"/>
    <m/>
    <m/>
    <m/>
    <m/>
    <m/>
    <m/>
    <x v="8"/>
    <x v="12"/>
  </r>
  <r>
    <n v="85"/>
    <s v="Implementación RAN"/>
    <s v="SNC-085"/>
    <x v="8"/>
    <m/>
    <m/>
    <x v="12"/>
    <m/>
    <m/>
    <m/>
    <s v=""/>
    <m/>
    <s v=""/>
    <s v=""/>
    <s v=""/>
    <s v=""/>
    <s v=""/>
    <m/>
    <n v="0"/>
    <m/>
    <m/>
    <m/>
    <m/>
    <m/>
    <m/>
    <x v="8"/>
    <x v="12"/>
  </r>
  <r>
    <n v="86"/>
    <s v="Implementación RAN"/>
    <s v="SNC-086"/>
    <x v="8"/>
    <m/>
    <m/>
    <x v="12"/>
    <m/>
    <m/>
    <m/>
    <s v=""/>
    <m/>
    <s v=""/>
    <s v=""/>
    <s v=""/>
    <s v=""/>
    <s v=""/>
    <m/>
    <n v="0"/>
    <m/>
    <m/>
    <m/>
    <m/>
    <m/>
    <m/>
    <x v="8"/>
    <x v="12"/>
  </r>
  <r>
    <n v="87"/>
    <s v="Implementación RAN"/>
    <s v="SNC-087"/>
    <x v="8"/>
    <m/>
    <m/>
    <x v="12"/>
    <m/>
    <m/>
    <m/>
    <s v=""/>
    <m/>
    <s v=""/>
    <s v=""/>
    <s v=""/>
    <s v=""/>
    <s v=""/>
    <m/>
    <n v="0"/>
    <m/>
    <m/>
    <m/>
    <m/>
    <m/>
    <m/>
    <x v="8"/>
    <x v="12"/>
  </r>
  <r>
    <n v="88"/>
    <s v="Implementación RAN"/>
    <s v="SNC-088"/>
    <x v="8"/>
    <m/>
    <m/>
    <x v="12"/>
    <m/>
    <m/>
    <m/>
    <s v=""/>
    <m/>
    <s v=""/>
    <s v=""/>
    <s v=""/>
    <s v=""/>
    <s v=""/>
    <m/>
    <n v="0"/>
    <m/>
    <m/>
    <m/>
    <m/>
    <m/>
    <m/>
    <x v="8"/>
    <x v="12"/>
  </r>
  <r>
    <n v="89"/>
    <s v="Implementación RAN"/>
    <s v="SNC-089"/>
    <x v="8"/>
    <m/>
    <m/>
    <x v="12"/>
    <m/>
    <m/>
    <m/>
    <s v=""/>
    <m/>
    <s v=""/>
    <s v=""/>
    <s v=""/>
    <s v=""/>
    <s v=""/>
    <m/>
    <n v="0"/>
    <m/>
    <m/>
    <m/>
    <m/>
    <m/>
    <m/>
    <x v="8"/>
    <x v="12"/>
  </r>
  <r>
    <n v="90"/>
    <s v="Implementación RAN"/>
    <s v="SNC-090"/>
    <x v="8"/>
    <m/>
    <m/>
    <x v="12"/>
    <m/>
    <m/>
    <m/>
    <s v=""/>
    <m/>
    <s v=""/>
    <s v=""/>
    <s v=""/>
    <s v=""/>
    <s v=""/>
    <m/>
    <n v="0"/>
    <m/>
    <m/>
    <m/>
    <m/>
    <m/>
    <m/>
    <x v="8"/>
    <x v="12"/>
  </r>
  <r>
    <n v="91"/>
    <s v="Implementación RAN"/>
    <s v="SNC-091"/>
    <x v="8"/>
    <m/>
    <m/>
    <x v="12"/>
    <m/>
    <m/>
    <m/>
    <s v=""/>
    <m/>
    <s v=""/>
    <s v=""/>
    <s v=""/>
    <s v=""/>
    <s v=""/>
    <m/>
    <n v="0"/>
    <m/>
    <m/>
    <m/>
    <m/>
    <m/>
    <m/>
    <x v="8"/>
    <x v="12"/>
  </r>
  <r>
    <n v="92"/>
    <s v="Implementación RAN"/>
    <s v="SNC-092"/>
    <x v="8"/>
    <m/>
    <m/>
    <x v="12"/>
    <m/>
    <m/>
    <m/>
    <s v=""/>
    <m/>
    <s v=""/>
    <s v=""/>
    <s v=""/>
    <s v=""/>
    <s v=""/>
    <m/>
    <n v="0"/>
    <m/>
    <m/>
    <m/>
    <m/>
    <m/>
    <m/>
    <x v="8"/>
    <x v="12"/>
  </r>
  <r>
    <n v="93"/>
    <s v="Implementación RAN"/>
    <s v="SNC-093"/>
    <x v="8"/>
    <m/>
    <m/>
    <x v="12"/>
    <m/>
    <m/>
    <m/>
    <s v=""/>
    <m/>
    <s v=""/>
    <s v=""/>
    <s v=""/>
    <s v=""/>
    <s v=""/>
    <m/>
    <n v="0"/>
    <m/>
    <m/>
    <m/>
    <m/>
    <m/>
    <m/>
    <x v="8"/>
    <x v="12"/>
  </r>
  <r>
    <n v="94"/>
    <s v="Implementación RAN"/>
    <s v="SNC-094"/>
    <x v="8"/>
    <m/>
    <m/>
    <x v="12"/>
    <m/>
    <m/>
    <m/>
    <s v=""/>
    <m/>
    <s v=""/>
    <s v=""/>
    <s v=""/>
    <s v=""/>
    <s v=""/>
    <m/>
    <n v="0"/>
    <m/>
    <m/>
    <m/>
    <m/>
    <m/>
    <m/>
    <x v="8"/>
    <x v="12"/>
  </r>
  <r>
    <n v="95"/>
    <s v="Implementación RAN"/>
    <s v="SNC-095"/>
    <x v="8"/>
    <m/>
    <m/>
    <x v="12"/>
    <m/>
    <m/>
    <m/>
    <s v=""/>
    <m/>
    <s v=""/>
    <s v=""/>
    <s v=""/>
    <s v=""/>
    <s v=""/>
    <m/>
    <n v="0"/>
    <m/>
    <m/>
    <m/>
    <m/>
    <m/>
    <m/>
    <x v="8"/>
    <x v="12"/>
  </r>
  <r>
    <n v="96"/>
    <s v="Implementación RAN"/>
    <s v="SNC-096"/>
    <x v="8"/>
    <m/>
    <m/>
    <x v="12"/>
    <m/>
    <m/>
    <m/>
    <s v=""/>
    <m/>
    <s v=""/>
    <s v=""/>
    <s v=""/>
    <s v=""/>
    <s v=""/>
    <m/>
    <n v="0"/>
    <m/>
    <m/>
    <m/>
    <m/>
    <m/>
    <m/>
    <x v="8"/>
    <x v="12"/>
  </r>
  <r>
    <n v="97"/>
    <s v="Implementación RAN"/>
    <s v="SNC-097"/>
    <x v="8"/>
    <m/>
    <m/>
    <x v="12"/>
    <m/>
    <m/>
    <m/>
    <s v=""/>
    <m/>
    <s v=""/>
    <s v=""/>
    <s v=""/>
    <s v=""/>
    <s v=""/>
    <m/>
    <n v="0"/>
    <m/>
    <m/>
    <m/>
    <m/>
    <m/>
    <m/>
    <x v="8"/>
    <x v="12"/>
  </r>
  <r>
    <n v="98"/>
    <s v="Implementación RAN"/>
    <s v="SNC-098"/>
    <x v="8"/>
    <m/>
    <m/>
    <x v="12"/>
    <m/>
    <m/>
    <m/>
    <s v=""/>
    <m/>
    <s v=""/>
    <s v=""/>
    <s v=""/>
    <s v=""/>
    <s v=""/>
    <m/>
    <n v="0"/>
    <m/>
    <m/>
    <m/>
    <m/>
    <m/>
    <m/>
    <x v="8"/>
    <x v="12"/>
  </r>
  <r>
    <n v="99"/>
    <s v="Implementación RAN"/>
    <s v="SNC-099"/>
    <x v="8"/>
    <m/>
    <m/>
    <x v="12"/>
    <m/>
    <m/>
    <m/>
    <s v=""/>
    <m/>
    <s v=""/>
    <s v=""/>
    <s v=""/>
    <s v=""/>
    <s v=""/>
    <m/>
    <n v="0"/>
    <m/>
    <m/>
    <m/>
    <m/>
    <m/>
    <m/>
    <x v="8"/>
    <x v="12"/>
  </r>
  <r>
    <n v="100"/>
    <s v="Implementación RAN"/>
    <s v="SNC-100"/>
    <x v="8"/>
    <m/>
    <m/>
    <x v="12"/>
    <m/>
    <m/>
    <m/>
    <s v=""/>
    <m/>
    <s v=""/>
    <s v=""/>
    <s v=""/>
    <s v=""/>
    <s v=""/>
    <m/>
    <n v="0"/>
    <m/>
    <m/>
    <m/>
    <m/>
    <m/>
    <m/>
    <x v="8"/>
    <x v="12"/>
  </r>
  <r>
    <n v="101"/>
    <s v="Implementación RAN"/>
    <s v="SNC-101"/>
    <x v="8"/>
    <m/>
    <m/>
    <x v="12"/>
    <m/>
    <m/>
    <m/>
    <s v=""/>
    <m/>
    <s v=""/>
    <s v=""/>
    <s v=""/>
    <s v=""/>
    <s v=""/>
    <m/>
    <n v="0"/>
    <m/>
    <m/>
    <m/>
    <m/>
    <m/>
    <m/>
    <x v="8"/>
    <x v="12"/>
  </r>
  <r>
    <n v="102"/>
    <s v="Implementación RAN"/>
    <s v="SNC-102"/>
    <x v="8"/>
    <m/>
    <m/>
    <x v="12"/>
    <m/>
    <m/>
    <m/>
    <s v=""/>
    <m/>
    <s v=""/>
    <s v=""/>
    <s v=""/>
    <s v=""/>
    <s v=""/>
    <m/>
    <n v="0"/>
    <m/>
    <m/>
    <m/>
    <m/>
    <m/>
    <m/>
    <x v="8"/>
    <x v="12"/>
  </r>
  <r>
    <n v="103"/>
    <s v="Implementación RAN"/>
    <s v="SNC-103"/>
    <x v="8"/>
    <m/>
    <m/>
    <x v="12"/>
    <m/>
    <m/>
    <m/>
    <s v=""/>
    <m/>
    <s v=""/>
    <s v=""/>
    <s v=""/>
    <s v=""/>
    <s v=""/>
    <m/>
    <n v="0"/>
    <m/>
    <m/>
    <m/>
    <m/>
    <m/>
    <m/>
    <x v="8"/>
    <x v="12"/>
  </r>
  <r>
    <n v="104"/>
    <s v="Implementación RAN"/>
    <s v="SNC-104"/>
    <x v="8"/>
    <m/>
    <m/>
    <x v="12"/>
    <m/>
    <m/>
    <m/>
    <s v=""/>
    <m/>
    <s v=""/>
    <s v=""/>
    <s v=""/>
    <s v=""/>
    <s v=""/>
    <m/>
    <n v="0"/>
    <m/>
    <m/>
    <m/>
    <m/>
    <m/>
    <m/>
    <x v="8"/>
    <x v="12"/>
  </r>
  <r>
    <n v="105"/>
    <s v="Implementación RAN"/>
    <s v="SNC-105"/>
    <x v="8"/>
    <m/>
    <m/>
    <x v="12"/>
    <m/>
    <m/>
    <m/>
    <s v=""/>
    <m/>
    <s v=""/>
    <s v=""/>
    <s v=""/>
    <s v=""/>
    <s v=""/>
    <m/>
    <n v="0"/>
    <m/>
    <m/>
    <m/>
    <m/>
    <m/>
    <m/>
    <x v="8"/>
    <x v="12"/>
  </r>
  <r>
    <n v="106"/>
    <s v="Implementación RAN"/>
    <s v="SNC-106"/>
    <x v="8"/>
    <m/>
    <m/>
    <x v="12"/>
    <m/>
    <m/>
    <m/>
    <s v=""/>
    <m/>
    <s v=""/>
    <s v=""/>
    <s v=""/>
    <s v=""/>
    <s v=""/>
    <m/>
    <n v="0"/>
    <m/>
    <m/>
    <m/>
    <m/>
    <m/>
    <m/>
    <x v="8"/>
    <x v="12"/>
  </r>
  <r>
    <n v="107"/>
    <s v="Implementación RAN"/>
    <s v="SNC-107"/>
    <x v="8"/>
    <m/>
    <m/>
    <x v="12"/>
    <m/>
    <m/>
    <m/>
    <s v=""/>
    <m/>
    <s v=""/>
    <s v=""/>
    <s v=""/>
    <s v=""/>
    <s v=""/>
    <m/>
    <n v="0"/>
    <m/>
    <m/>
    <m/>
    <m/>
    <m/>
    <m/>
    <x v="8"/>
    <x v="12"/>
  </r>
  <r>
    <n v="108"/>
    <s v="Implementación RAN"/>
    <s v="SNC-108"/>
    <x v="8"/>
    <m/>
    <m/>
    <x v="12"/>
    <m/>
    <m/>
    <m/>
    <s v=""/>
    <m/>
    <s v=""/>
    <s v=""/>
    <s v=""/>
    <s v=""/>
    <s v=""/>
    <m/>
    <n v="0"/>
    <m/>
    <m/>
    <m/>
    <m/>
    <m/>
    <m/>
    <x v="8"/>
    <x v="12"/>
  </r>
  <r>
    <n v="109"/>
    <s v="Implementación RAN"/>
    <s v="SNC-109"/>
    <x v="8"/>
    <m/>
    <m/>
    <x v="12"/>
    <m/>
    <m/>
    <m/>
    <s v=""/>
    <m/>
    <s v=""/>
    <s v=""/>
    <s v=""/>
    <s v=""/>
    <s v=""/>
    <m/>
    <n v="0"/>
    <m/>
    <m/>
    <m/>
    <m/>
    <m/>
    <m/>
    <x v="8"/>
    <x v="12"/>
  </r>
  <r>
    <n v="110"/>
    <s v="Implementación RAN"/>
    <s v="SNC-110"/>
    <x v="8"/>
    <m/>
    <m/>
    <x v="12"/>
    <m/>
    <m/>
    <m/>
    <s v=""/>
    <m/>
    <s v=""/>
    <s v=""/>
    <s v=""/>
    <s v=""/>
    <s v=""/>
    <m/>
    <n v="0"/>
    <m/>
    <m/>
    <m/>
    <m/>
    <m/>
    <m/>
    <x v="8"/>
    <x v="12"/>
  </r>
  <r>
    <n v="111"/>
    <s v="Implementación RAN"/>
    <s v="SNC-111"/>
    <x v="8"/>
    <m/>
    <m/>
    <x v="12"/>
    <m/>
    <m/>
    <m/>
    <s v=""/>
    <m/>
    <s v=""/>
    <s v=""/>
    <s v=""/>
    <s v=""/>
    <s v=""/>
    <m/>
    <n v="0"/>
    <m/>
    <m/>
    <m/>
    <m/>
    <m/>
    <m/>
    <x v="8"/>
    <x v="12"/>
  </r>
  <r>
    <n v="112"/>
    <s v="Implementación RAN"/>
    <s v="SNC-112"/>
    <x v="8"/>
    <m/>
    <m/>
    <x v="12"/>
    <m/>
    <m/>
    <m/>
    <s v=""/>
    <m/>
    <s v=""/>
    <s v=""/>
    <s v=""/>
    <s v=""/>
    <s v=""/>
    <m/>
    <n v="0"/>
    <m/>
    <m/>
    <m/>
    <m/>
    <m/>
    <m/>
    <x v="8"/>
    <x v="12"/>
  </r>
  <r>
    <n v="113"/>
    <s v="Implementación RAN"/>
    <s v="SNC-113"/>
    <x v="8"/>
    <m/>
    <m/>
    <x v="12"/>
    <m/>
    <m/>
    <m/>
    <s v=""/>
    <m/>
    <s v=""/>
    <s v=""/>
    <s v=""/>
    <s v=""/>
    <s v=""/>
    <m/>
    <n v="0"/>
    <m/>
    <m/>
    <m/>
    <m/>
    <m/>
    <m/>
    <x v="8"/>
    <x v="12"/>
  </r>
  <r>
    <n v="114"/>
    <s v="Implementación RAN"/>
    <s v="SNC-114"/>
    <x v="8"/>
    <m/>
    <m/>
    <x v="12"/>
    <m/>
    <m/>
    <m/>
    <s v=""/>
    <m/>
    <s v=""/>
    <s v=""/>
    <s v=""/>
    <s v=""/>
    <s v=""/>
    <m/>
    <n v="0"/>
    <m/>
    <m/>
    <m/>
    <m/>
    <m/>
    <m/>
    <x v="8"/>
    <x v="12"/>
  </r>
  <r>
    <n v="115"/>
    <s v="Implementación RAN"/>
    <s v="SNC-115"/>
    <x v="8"/>
    <m/>
    <m/>
    <x v="12"/>
    <m/>
    <m/>
    <m/>
    <s v=""/>
    <m/>
    <s v=""/>
    <s v=""/>
    <s v=""/>
    <s v=""/>
    <s v=""/>
    <m/>
    <n v="0"/>
    <m/>
    <m/>
    <m/>
    <m/>
    <m/>
    <m/>
    <x v="8"/>
    <x v="12"/>
  </r>
  <r>
    <n v="116"/>
    <s v="Implementación RAN"/>
    <s v="SNC-116"/>
    <x v="8"/>
    <m/>
    <m/>
    <x v="12"/>
    <m/>
    <m/>
    <m/>
    <s v=""/>
    <m/>
    <s v=""/>
    <s v=""/>
    <s v=""/>
    <s v=""/>
    <s v=""/>
    <m/>
    <n v="0"/>
    <m/>
    <m/>
    <m/>
    <m/>
    <m/>
    <m/>
    <x v="8"/>
    <x v="12"/>
  </r>
  <r>
    <n v="117"/>
    <s v="Implementación RAN"/>
    <s v="SNC-117"/>
    <x v="8"/>
    <m/>
    <m/>
    <x v="12"/>
    <m/>
    <m/>
    <m/>
    <s v=""/>
    <m/>
    <s v=""/>
    <s v=""/>
    <s v=""/>
    <s v=""/>
    <s v=""/>
    <m/>
    <n v="0"/>
    <m/>
    <m/>
    <m/>
    <m/>
    <m/>
    <m/>
    <x v="8"/>
    <x v="12"/>
  </r>
  <r>
    <n v="118"/>
    <s v="Implementación RAN"/>
    <s v="SNC-118"/>
    <x v="8"/>
    <m/>
    <m/>
    <x v="12"/>
    <m/>
    <m/>
    <m/>
    <s v=""/>
    <m/>
    <s v=""/>
    <s v=""/>
    <s v=""/>
    <s v=""/>
    <s v=""/>
    <m/>
    <n v="0"/>
    <m/>
    <m/>
    <m/>
    <m/>
    <m/>
    <m/>
    <x v="8"/>
    <x v="12"/>
  </r>
  <r>
    <n v="119"/>
    <s v="Implementación RAN"/>
    <s v="SNC-119"/>
    <x v="8"/>
    <m/>
    <m/>
    <x v="12"/>
    <m/>
    <m/>
    <m/>
    <s v=""/>
    <m/>
    <s v=""/>
    <s v=""/>
    <s v=""/>
    <s v=""/>
    <s v=""/>
    <m/>
    <n v="0"/>
    <m/>
    <m/>
    <m/>
    <m/>
    <m/>
    <m/>
    <x v="8"/>
    <x v="12"/>
  </r>
  <r>
    <n v="120"/>
    <s v="Implementación RAN"/>
    <s v="SNC-120"/>
    <x v="8"/>
    <m/>
    <m/>
    <x v="12"/>
    <m/>
    <m/>
    <m/>
    <s v=""/>
    <m/>
    <s v=""/>
    <s v=""/>
    <s v=""/>
    <s v=""/>
    <s v=""/>
    <m/>
    <n v="0"/>
    <m/>
    <m/>
    <m/>
    <m/>
    <m/>
    <m/>
    <x v="8"/>
    <x v="12"/>
  </r>
  <r>
    <n v="121"/>
    <s v="Implementación RAN"/>
    <s v="SNC-121"/>
    <x v="8"/>
    <m/>
    <m/>
    <x v="12"/>
    <m/>
    <m/>
    <m/>
    <s v=""/>
    <m/>
    <s v=""/>
    <s v=""/>
    <s v=""/>
    <s v=""/>
    <s v=""/>
    <m/>
    <n v="0"/>
    <m/>
    <m/>
    <m/>
    <m/>
    <m/>
    <m/>
    <x v="8"/>
    <x v="12"/>
  </r>
  <r>
    <n v="122"/>
    <s v="Implementación RAN"/>
    <s v="SNC-122"/>
    <x v="8"/>
    <m/>
    <m/>
    <x v="12"/>
    <m/>
    <m/>
    <m/>
    <s v=""/>
    <m/>
    <s v=""/>
    <s v=""/>
    <s v=""/>
    <s v=""/>
    <s v=""/>
    <m/>
    <n v="0"/>
    <m/>
    <m/>
    <m/>
    <m/>
    <m/>
    <m/>
    <x v="8"/>
    <x v="12"/>
  </r>
  <r>
    <n v="123"/>
    <s v="Implementación RAN"/>
    <s v="SNC-123"/>
    <x v="8"/>
    <m/>
    <m/>
    <x v="12"/>
    <m/>
    <m/>
    <m/>
    <s v=""/>
    <m/>
    <s v=""/>
    <s v=""/>
    <s v=""/>
    <s v=""/>
    <s v=""/>
    <m/>
    <n v="0"/>
    <m/>
    <m/>
    <m/>
    <m/>
    <m/>
    <m/>
    <x v="8"/>
    <x v="12"/>
  </r>
  <r>
    <n v="124"/>
    <s v="Implementación RAN"/>
    <s v="SNC-124"/>
    <x v="8"/>
    <m/>
    <m/>
    <x v="12"/>
    <m/>
    <m/>
    <m/>
    <s v=""/>
    <m/>
    <s v=""/>
    <s v=""/>
    <s v=""/>
    <s v=""/>
    <s v=""/>
    <m/>
    <n v="0"/>
    <m/>
    <m/>
    <m/>
    <m/>
    <m/>
    <m/>
    <x v="8"/>
    <x v="12"/>
  </r>
  <r>
    <n v="125"/>
    <s v="Implementación RAN"/>
    <s v="SNC-125"/>
    <x v="8"/>
    <m/>
    <m/>
    <x v="12"/>
    <m/>
    <m/>
    <m/>
    <s v=""/>
    <m/>
    <s v=""/>
    <s v=""/>
    <s v=""/>
    <s v=""/>
    <s v=""/>
    <m/>
    <n v="0"/>
    <m/>
    <m/>
    <m/>
    <m/>
    <m/>
    <m/>
    <x v="8"/>
    <x v="12"/>
  </r>
  <r>
    <n v="126"/>
    <s v="Implementación RAN"/>
    <s v="SNC-126"/>
    <x v="8"/>
    <m/>
    <m/>
    <x v="12"/>
    <m/>
    <m/>
    <m/>
    <s v=""/>
    <m/>
    <s v=""/>
    <s v=""/>
    <s v=""/>
    <s v=""/>
    <s v=""/>
    <m/>
    <n v="0"/>
    <m/>
    <m/>
    <m/>
    <m/>
    <m/>
    <m/>
    <x v="8"/>
    <x v="12"/>
  </r>
  <r>
    <n v="127"/>
    <s v="Implementación RAN"/>
    <s v="SNC-127"/>
    <x v="8"/>
    <m/>
    <m/>
    <x v="12"/>
    <m/>
    <m/>
    <m/>
    <s v=""/>
    <m/>
    <s v=""/>
    <s v=""/>
    <s v=""/>
    <s v=""/>
    <s v=""/>
    <m/>
    <n v="0"/>
    <m/>
    <m/>
    <m/>
    <m/>
    <m/>
    <m/>
    <x v="8"/>
    <x v="12"/>
  </r>
  <r>
    <n v="128"/>
    <s v="Implementación RAN"/>
    <s v="SNC-128"/>
    <x v="8"/>
    <m/>
    <m/>
    <x v="12"/>
    <m/>
    <m/>
    <m/>
    <s v=""/>
    <m/>
    <s v=""/>
    <s v=""/>
    <s v=""/>
    <s v=""/>
    <s v=""/>
    <m/>
    <n v="0"/>
    <m/>
    <m/>
    <m/>
    <m/>
    <m/>
    <m/>
    <x v="8"/>
    <x v="12"/>
  </r>
  <r>
    <n v="129"/>
    <s v="Implementación RAN"/>
    <s v="SNC-129"/>
    <x v="8"/>
    <m/>
    <m/>
    <x v="12"/>
    <m/>
    <m/>
    <m/>
    <s v=""/>
    <m/>
    <s v=""/>
    <s v=""/>
    <s v=""/>
    <s v=""/>
    <s v=""/>
    <m/>
    <n v="0"/>
    <m/>
    <m/>
    <m/>
    <m/>
    <m/>
    <m/>
    <x v="8"/>
    <x v="12"/>
  </r>
  <r>
    <n v="130"/>
    <s v="Implementación RAN"/>
    <s v="SNC-130"/>
    <x v="8"/>
    <m/>
    <m/>
    <x v="12"/>
    <m/>
    <m/>
    <m/>
    <s v=""/>
    <m/>
    <s v=""/>
    <s v=""/>
    <s v=""/>
    <s v=""/>
    <s v=""/>
    <m/>
    <n v="0"/>
    <m/>
    <m/>
    <m/>
    <m/>
    <m/>
    <m/>
    <x v="8"/>
    <x v="12"/>
  </r>
  <r>
    <n v="131"/>
    <s v="Implementación RAN"/>
    <s v="SNC-131"/>
    <x v="8"/>
    <m/>
    <m/>
    <x v="12"/>
    <m/>
    <m/>
    <m/>
    <s v=""/>
    <m/>
    <s v=""/>
    <s v=""/>
    <s v=""/>
    <s v=""/>
    <s v=""/>
    <m/>
    <n v="0"/>
    <m/>
    <m/>
    <m/>
    <m/>
    <m/>
    <m/>
    <x v="8"/>
    <x v="12"/>
  </r>
  <r>
    <n v="132"/>
    <s v="Implementación RAN"/>
    <s v="SNC-132"/>
    <x v="8"/>
    <m/>
    <m/>
    <x v="12"/>
    <m/>
    <m/>
    <m/>
    <s v=""/>
    <m/>
    <s v=""/>
    <s v=""/>
    <s v=""/>
    <s v=""/>
    <s v=""/>
    <m/>
    <n v="0"/>
    <m/>
    <m/>
    <m/>
    <m/>
    <m/>
    <m/>
    <x v="8"/>
    <x v="12"/>
  </r>
  <r>
    <n v="133"/>
    <s v="Implementación RAN"/>
    <s v="SNC-133"/>
    <x v="8"/>
    <m/>
    <m/>
    <x v="12"/>
    <m/>
    <m/>
    <m/>
    <s v=""/>
    <m/>
    <s v=""/>
    <s v=""/>
    <s v=""/>
    <s v=""/>
    <s v=""/>
    <m/>
    <n v="0"/>
    <m/>
    <m/>
    <m/>
    <m/>
    <m/>
    <m/>
    <x v="8"/>
    <x v="12"/>
  </r>
  <r>
    <n v="134"/>
    <s v="Implementación RAN"/>
    <s v="SNC-134"/>
    <x v="8"/>
    <m/>
    <m/>
    <x v="12"/>
    <m/>
    <m/>
    <m/>
    <s v=""/>
    <m/>
    <s v=""/>
    <s v=""/>
    <s v=""/>
    <s v=""/>
    <s v=""/>
    <m/>
    <n v="0"/>
    <m/>
    <m/>
    <m/>
    <m/>
    <m/>
    <m/>
    <x v="8"/>
    <x v="12"/>
  </r>
  <r>
    <n v="135"/>
    <s v="Implementación RAN"/>
    <s v="SNC-135"/>
    <x v="8"/>
    <m/>
    <m/>
    <x v="12"/>
    <m/>
    <m/>
    <m/>
    <s v=""/>
    <m/>
    <s v=""/>
    <s v=""/>
    <s v=""/>
    <s v=""/>
    <s v=""/>
    <m/>
    <n v="0"/>
    <m/>
    <m/>
    <m/>
    <m/>
    <m/>
    <m/>
    <x v="8"/>
    <x v="12"/>
  </r>
  <r>
    <n v="136"/>
    <s v="Implementación RAN"/>
    <s v="SNC-136"/>
    <x v="8"/>
    <m/>
    <m/>
    <x v="12"/>
    <m/>
    <m/>
    <m/>
    <s v=""/>
    <m/>
    <s v=""/>
    <s v=""/>
    <s v=""/>
    <s v=""/>
    <s v=""/>
    <m/>
    <n v="0"/>
    <m/>
    <m/>
    <m/>
    <m/>
    <m/>
    <m/>
    <x v="8"/>
    <x v="12"/>
  </r>
  <r>
    <n v="137"/>
    <s v="Implementación RAN"/>
    <s v="SNC-137"/>
    <x v="8"/>
    <m/>
    <m/>
    <x v="12"/>
    <m/>
    <m/>
    <m/>
    <s v=""/>
    <m/>
    <s v=""/>
    <s v=""/>
    <s v=""/>
    <s v=""/>
    <s v=""/>
    <m/>
    <n v="0"/>
    <m/>
    <m/>
    <m/>
    <m/>
    <m/>
    <m/>
    <x v="8"/>
    <x v="12"/>
  </r>
  <r>
    <n v="138"/>
    <s v="Implementación RAN"/>
    <s v="SNC-138"/>
    <x v="8"/>
    <m/>
    <m/>
    <x v="12"/>
    <m/>
    <m/>
    <m/>
    <s v=""/>
    <m/>
    <s v=""/>
    <s v=""/>
    <s v=""/>
    <s v=""/>
    <s v=""/>
    <m/>
    <n v="0"/>
    <m/>
    <m/>
    <m/>
    <m/>
    <m/>
    <m/>
    <x v="8"/>
    <x v="12"/>
  </r>
  <r>
    <n v="139"/>
    <s v="Implementación RAN"/>
    <s v="SNC-139"/>
    <x v="8"/>
    <m/>
    <m/>
    <x v="12"/>
    <m/>
    <m/>
    <m/>
    <s v=""/>
    <m/>
    <s v=""/>
    <s v=""/>
    <s v=""/>
    <s v=""/>
    <s v=""/>
    <m/>
    <n v="0"/>
    <m/>
    <m/>
    <m/>
    <m/>
    <m/>
    <m/>
    <x v="8"/>
    <x v="12"/>
  </r>
  <r>
    <n v="140"/>
    <s v="Implementación RAN"/>
    <s v="SNC-140"/>
    <x v="8"/>
    <m/>
    <m/>
    <x v="12"/>
    <m/>
    <m/>
    <m/>
    <s v=""/>
    <m/>
    <s v=""/>
    <s v=""/>
    <s v=""/>
    <s v=""/>
    <s v=""/>
    <m/>
    <n v="0"/>
    <m/>
    <m/>
    <m/>
    <m/>
    <m/>
    <m/>
    <x v="8"/>
    <x v="12"/>
  </r>
  <r>
    <n v="141"/>
    <s v="Implementación RAN"/>
    <s v="SNC-141"/>
    <x v="8"/>
    <m/>
    <m/>
    <x v="12"/>
    <m/>
    <m/>
    <m/>
    <s v=""/>
    <m/>
    <s v=""/>
    <s v=""/>
    <s v=""/>
    <s v=""/>
    <s v=""/>
    <m/>
    <n v="0"/>
    <m/>
    <m/>
    <m/>
    <m/>
    <m/>
    <m/>
    <x v="8"/>
    <x v="12"/>
  </r>
  <r>
    <n v="142"/>
    <s v="Implementación RAN"/>
    <s v="SNC-142"/>
    <x v="8"/>
    <m/>
    <m/>
    <x v="12"/>
    <m/>
    <m/>
    <m/>
    <s v=""/>
    <m/>
    <s v=""/>
    <s v=""/>
    <s v=""/>
    <s v=""/>
    <s v=""/>
    <m/>
    <n v="0"/>
    <m/>
    <m/>
    <m/>
    <m/>
    <m/>
    <m/>
    <x v="8"/>
    <x v="12"/>
  </r>
  <r>
    <n v="143"/>
    <s v="Implementación RAN"/>
    <s v="SNC-143"/>
    <x v="8"/>
    <m/>
    <m/>
    <x v="12"/>
    <m/>
    <m/>
    <m/>
    <s v=""/>
    <m/>
    <s v=""/>
    <s v=""/>
    <s v=""/>
    <s v=""/>
    <s v=""/>
    <m/>
    <n v="0"/>
    <m/>
    <m/>
    <m/>
    <m/>
    <m/>
    <m/>
    <x v="8"/>
    <x v="12"/>
  </r>
  <r>
    <n v="144"/>
    <s v="Implementación RAN"/>
    <s v="SNC-144"/>
    <x v="8"/>
    <m/>
    <m/>
    <x v="12"/>
    <m/>
    <m/>
    <m/>
    <s v=""/>
    <m/>
    <s v=""/>
    <s v=""/>
    <s v=""/>
    <s v=""/>
    <s v=""/>
    <m/>
    <n v="0"/>
    <m/>
    <m/>
    <m/>
    <m/>
    <m/>
    <m/>
    <x v="8"/>
    <x v="12"/>
  </r>
  <r>
    <n v="145"/>
    <s v="Implementación RAN"/>
    <s v="SNC-145"/>
    <x v="8"/>
    <m/>
    <m/>
    <x v="12"/>
    <m/>
    <m/>
    <m/>
    <s v=""/>
    <m/>
    <s v=""/>
    <s v=""/>
    <s v=""/>
    <s v=""/>
    <s v=""/>
    <m/>
    <n v="0"/>
    <m/>
    <m/>
    <m/>
    <m/>
    <m/>
    <m/>
    <x v="8"/>
    <x v="12"/>
  </r>
  <r>
    <n v="146"/>
    <s v="Implementación RAN"/>
    <s v="SNC-146"/>
    <x v="8"/>
    <m/>
    <m/>
    <x v="12"/>
    <m/>
    <m/>
    <m/>
    <s v=""/>
    <m/>
    <s v=""/>
    <s v=""/>
    <s v=""/>
    <s v=""/>
    <s v=""/>
    <m/>
    <n v="0"/>
    <m/>
    <m/>
    <m/>
    <m/>
    <m/>
    <m/>
    <x v="8"/>
    <x v="12"/>
  </r>
  <r>
    <n v="147"/>
    <s v="Implementación RAN"/>
    <s v="SNC-147"/>
    <x v="8"/>
    <m/>
    <m/>
    <x v="12"/>
    <m/>
    <m/>
    <m/>
    <s v=""/>
    <m/>
    <s v=""/>
    <s v=""/>
    <s v=""/>
    <s v=""/>
    <s v=""/>
    <m/>
    <n v="0"/>
    <m/>
    <m/>
    <m/>
    <m/>
    <m/>
    <m/>
    <x v="8"/>
    <x v="12"/>
  </r>
  <r>
    <n v="148"/>
    <s v="Implementación RAN"/>
    <s v="SNC-148"/>
    <x v="8"/>
    <m/>
    <m/>
    <x v="12"/>
    <m/>
    <m/>
    <m/>
    <s v=""/>
    <m/>
    <s v=""/>
    <s v=""/>
    <s v=""/>
    <s v=""/>
    <s v=""/>
    <m/>
    <n v="0"/>
    <m/>
    <m/>
    <m/>
    <m/>
    <m/>
    <m/>
    <x v="8"/>
    <x v="12"/>
  </r>
  <r>
    <n v="149"/>
    <s v="Implementación RAN"/>
    <s v="SNC-149"/>
    <x v="8"/>
    <m/>
    <m/>
    <x v="12"/>
    <m/>
    <m/>
    <m/>
    <s v=""/>
    <m/>
    <s v=""/>
    <s v=""/>
    <s v=""/>
    <s v=""/>
    <s v=""/>
    <m/>
    <n v="0"/>
    <m/>
    <m/>
    <m/>
    <m/>
    <m/>
    <m/>
    <x v="8"/>
    <x v="12"/>
  </r>
  <r>
    <n v="150"/>
    <s v="Implementación RAN"/>
    <s v="SNC-150"/>
    <x v="8"/>
    <m/>
    <m/>
    <x v="12"/>
    <m/>
    <m/>
    <m/>
    <s v=""/>
    <m/>
    <s v=""/>
    <s v=""/>
    <s v=""/>
    <s v=""/>
    <s v=""/>
    <m/>
    <n v="0"/>
    <m/>
    <m/>
    <m/>
    <m/>
    <m/>
    <m/>
    <x v="8"/>
    <x v="12"/>
  </r>
  <r>
    <n v="151"/>
    <s v="Implementación RAN"/>
    <s v="SNC-151"/>
    <x v="8"/>
    <m/>
    <m/>
    <x v="12"/>
    <m/>
    <m/>
    <m/>
    <s v=""/>
    <m/>
    <s v=""/>
    <s v=""/>
    <s v=""/>
    <s v=""/>
    <s v=""/>
    <m/>
    <n v="0"/>
    <m/>
    <m/>
    <m/>
    <m/>
    <m/>
    <m/>
    <x v="8"/>
    <x v="12"/>
  </r>
  <r>
    <n v="152"/>
    <s v="Implementación RAN"/>
    <s v="SNC-152"/>
    <x v="8"/>
    <m/>
    <m/>
    <x v="12"/>
    <m/>
    <m/>
    <m/>
    <s v=""/>
    <m/>
    <s v=""/>
    <s v=""/>
    <s v=""/>
    <s v=""/>
    <s v=""/>
    <m/>
    <n v="0"/>
    <m/>
    <m/>
    <m/>
    <m/>
    <m/>
    <m/>
    <x v="8"/>
    <x v="12"/>
  </r>
  <r>
    <n v="153"/>
    <s v="Implementación RAN"/>
    <s v="SNC-153"/>
    <x v="8"/>
    <m/>
    <m/>
    <x v="12"/>
    <m/>
    <m/>
    <m/>
    <s v=""/>
    <m/>
    <s v=""/>
    <s v=""/>
    <s v=""/>
    <s v=""/>
    <s v=""/>
    <m/>
    <n v="0"/>
    <m/>
    <m/>
    <m/>
    <m/>
    <m/>
    <m/>
    <x v="8"/>
    <x v="12"/>
  </r>
  <r>
    <n v="154"/>
    <s v="Implementación RAN"/>
    <s v="SNC-154"/>
    <x v="8"/>
    <m/>
    <m/>
    <x v="12"/>
    <m/>
    <m/>
    <m/>
    <s v=""/>
    <m/>
    <s v=""/>
    <s v=""/>
    <s v=""/>
    <s v=""/>
    <s v=""/>
    <m/>
    <n v="0"/>
    <m/>
    <m/>
    <m/>
    <m/>
    <m/>
    <m/>
    <x v="8"/>
    <x v="12"/>
  </r>
  <r>
    <n v="155"/>
    <s v="Implementación RAN"/>
    <s v="SNC-155"/>
    <x v="8"/>
    <m/>
    <m/>
    <x v="12"/>
    <m/>
    <m/>
    <m/>
    <s v=""/>
    <m/>
    <s v=""/>
    <s v=""/>
    <s v=""/>
    <s v=""/>
    <s v=""/>
    <m/>
    <n v="0"/>
    <m/>
    <m/>
    <m/>
    <m/>
    <m/>
    <m/>
    <x v="8"/>
    <x v="12"/>
  </r>
  <r>
    <n v="156"/>
    <s v="Implementación RAN"/>
    <s v="SNC-156"/>
    <x v="8"/>
    <m/>
    <m/>
    <x v="12"/>
    <m/>
    <m/>
    <m/>
    <s v=""/>
    <m/>
    <s v=""/>
    <s v=""/>
    <s v=""/>
    <s v=""/>
    <s v=""/>
    <m/>
    <n v="0"/>
    <m/>
    <m/>
    <m/>
    <m/>
    <m/>
    <m/>
    <x v="8"/>
    <x v="12"/>
  </r>
  <r>
    <n v="157"/>
    <s v="Implementación RAN"/>
    <s v="SNC-157"/>
    <x v="8"/>
    <m/>
    <m/>
    <x v="12"/>
    <m/>
    <m/>
    <m/>
    <s v=""/>
    <m/>
    <s v=""/>
    <s v=""/>
    <s v=""/>
    <s v=""/>
    <s v=""/>
    <m/>
    <n v="0"/>
    <m/>
    <m/>
    <m/>
    <m/>
    <m/>
    <m/>
    <x v="8"/>
    <x v="12"/>
  </r>
  <r>
    <n v="158"/>
    <s v="Implementación RAN"/>
    <s v="SNC-158"/>
    <x v="8"/>
    <m/>
    <m/>
    <x v="12"/>
    <m/>
    <m/>
    <m/>
    <s v=""/>
    <m/>
    <s v=""/>
    <s v=""/>
    <s v=""/>
    <s v=""/>
    <s v=""/>
    <m/>
    <n v="0"/>
    <m/>
    <m/>
    <m/>
    <m/>
    <m/>
    <m/>
    <x v="8"/>
    <x v="12"/>
  </r>
  <r>
    <n v="159"/>
    <s v="Implementación RAN"/>
    <s v="SNC-159"/>
    <x v="8"/>
    <m/>
    <m/>
    <x v="12"/>
    <m/>
    <m/>
    <m/>
    <s v=""/>
    <m/>
    <s v=""/>
    <s v=""/>
    <s v=""/>
    <s v=""/>
    <s v=""/>
    <m/>
    <n v="0"/>
    <m/>
    <m/>
    <m/>
    <m/>
    <m/>
    <m/>
    <x v="8"/>
    <x v="12"/>
  </r>
  <r>
    <n v="160"/>
    <s v="Implementación RAN"/>
    <s v="SNC-160"/>
    <x v="8"/>
    <m/>
    <m/>
    <x v="12"/>
    <m/>
    <m/>
    <m/>
    <s v=""/>
    <m/>
    <s v=""/>
    <s v=""/>
    <s v=""/>
    <s v=""/>
    <s v=""/>
    <m/>
    <n v="0"/>
    <m/>
    <m/>
    <m/>
    <m/>
    <m/>
    <m/>
    <x v="8"/>
    <x v="12"/>
  </r>
  <r>
    <n v="161"/>
    <s v="Implementación RAN"/>
    <s v="SNC-161"/>
    <x v="8"/>
    <m/>
    <m/>
    <x v="12"/>
    <m/>
    <m/>
    <m/>
    <s v=""/>
    <m/>
    <s v=""/>
    <s v=""/>
    <s v=""/>
    <s v=""/>
    <s v=""/>
    <m/>
    <n v="0"/>
    <m/>
    <m/>
    <m/>
    <m/>
    <m/>
    <m/>
    <x v="8"/>
    <x v="12"/>
  </r>
  <r>
    <n v="162"/>
    <s v="Implementación RAN"/>
    <s v="SNC-162"/>
    <x v="8"/>
    <m/>
    <m/>
    <x v="12"/>
    <m/>
    <m/>
    <m/>
    <s v=""/>
    <m/>
    <s v=""/>
    <s v=""/>
    <s v=""/>
    <s v=""/>
    <s v=""/>
    <m/>
    <n v="0"/>
    <m/>
    <m/>
    <m/>
    <m/>
    <m/>
    <m/>
    <x v="8"/>
    <x v="12"/>
  </r>
  <r>
    <n v="163"/>
    <s v="Implementación RAN"/>
    <s v="SNC-163"/>
    <x v="8"/>
    <m/>
    <m/>
    <x v="12"/>
    <m/>
    <m/>
    <m/>
    <s v=""/>
    <m/>
    <s v=""/>
    <s v=""/>
    <s v=""/>
    <s v=""/>
    <s v=""/>
    <m/>
    <n v="0"/>
    <m/>
    <m/>
    <m/>
    <m/>
    <m/>
    <m/>
    <x v="8"/>
    <x v="12"/>
  </r>
  <r>
    <n v="164"/>
    <s v="Implementación RAN"/>
    <s v="SNC-164"/>
    <x v="8"/>
    <m/>
    <m/>
    <x v="12"/>
    <m/>
    <m/>
    <m/>
    <s v=""/>
    <m/>
    <s v=""/>
    <s v=""/>
    <s v=""/>
    <s v=""/>
    <s v=""/>
    <m/>
    <n v="0"/>
    <m/>
    <m/>
    <m/>
    <m/>
    <m/>
    <m/>
    <x v="8"/>
    <x v="12"/>
  </r>
  <r>
    <n v="165"/>
    <s v="Implementación RAN"/>
    <s v="SNC-165"/>
    <x v="8"/>
    <m/>
    <m/>
    <x v="12"/>
    <m/>
    <m/>
    <m/>
    <s v=""/>
    <m/>
    <s v=""/>
    <s v=""/>
    <s v=""/>
    <s v=""/>
    <s v=""/>
    <m/>
    <n v="0"/>
    <m/>
    <m/>
    <m/>
    <m/>
    <m/>
    <m/>
    <x v="8"/>
    <x v="12"/>
  </r>
  <r>
    <n v="166"/>
    <s v="Implementación RAN"/>
    <s v="SNC-166"/>
    <x v="8"/>
    <m/>
    <m/>
    <x v="12"/>
    <m/>
    <m/>
    <m/>
    <s v=""/>
    <m/>
    <s v=""/>
    <s v=""/>
    <s v=""/>
    <s v=""/>
    <s v=""/>
    <m/>
    <n v="0"/>
    <m/>
    <m/>
    <m/>
    <m/>
    <m/>
    <m/>
    <x v="8"/>
    <x v="12"/>
  </r>
  <r>
    <n v="167"/>
    <s v="Implementación RAN"/>
    <s v="SNC-167"/>
    <x v="8"/>
    <m/>
    <m/>
    <x v="12"/>
    <m/>
    <m/>
    <m/>
    <s v=""/>
    <m/>
    <s v=""/>
    <s v=""/>
    <s v=""/>
    <s v=""/>
    <s v=""/>
    <m/>
    <n v="0"/>
    <m/>
    <m/>
    <m/>
    <m/>
    <m/>
    <m/>
    <x v="8"/>
    <x v="12"/>
  </r>
  <r>
    <n v="168"/>
    <s v="Implementación RAN"/>
    <s v="SNC-168"/>
    <x v="8"/>
    <m/>
    <m/>
    <x v="12"/>
    <m/>
    <m/>
    <m/>
    <s v=""/>
    <m/>
    <s v=""/>
    <s v=""/>
    <s v=""/>
    <s v=""/>
    <s v=""/>
    <m/>
    <n v="0"/>
    <m/>
    <m/>
    <m/>
    <m/>
    <m/>
    <m/>
    <x v="8"/>
    <x v="12"/>
  </r>
  <r>
    <n v="169"/>
    <s v="Implementación RAN"/>
    <s v="SNC-169"/>
    <x v="8"/>
    <m/>
    <m/>
    <x v="12"/>
    <m/>
    <m/>
    <m/>
    <s v=""/>
    <m/>
    <s v=""/>
    <s v=""/>
    <s v=""/>
    <s v=""/>
    <s v=""/>
    <m/>
    <n v="0"/>
    <m/>
    <m/>
    <m/>
    <m/>
    <m/>
    <m/>
    <x v="8"/>
    <x v="12"/>
  </r>
  <r>
    <n v="170"/>
    <s v="Implementación RAN"/>
    <s v="SNC-170"/>
    <x v="8"/>
    <m/>
    <m/>
    <x v="12"/>
    <m/>
    <m/>
    <m/>
    <s v=""/>
    <m/>
    <s v=""/>
    <s v=""/>
    <s v=""/>
    <s v=""/>
    <s v=""/>
    <m/>
    <n v="0"/>
    <m/>
    <m/>
    <m/>
    <m/>
    <m/>
    <m/>
    <x v="8"/>
    <x v="12"/>
  </r>
  <r>
    <n v="171"/>
    <s v="Implementación RAN"/>
    <s v="SNC-171"/>
    <x v="8"/>
    <m/>
    <m/>
    <x v="12"/>
    <m/>
    <m/>
    <m/>
    <s v=""/>
    <m/>
    <s v=""/>
    <s v=""/>
    <s v=""/>
    <s v=""/>
    <s v=""/>
    <m/>
    <n v="0"/>
    <m/>
    <m/>
    <m/>
    <m/>
    <m/>
    <m/>
    <x v="8"/>
    <x v="12"/>
  </r>
  <r>
    <n v="172"/>
    <s v="Implementación RAN"/>
    <s v="SNC-172"/>
    <x v="8"/>
    <m/>
    <m/>
    <x v="12"/>
    <m/>
    <m/>
    <m/>
    <s v=""/>
    <m/>
    <s v=""/>
    <s v=""/>
    <s v=""/>
    <s v=""/>
    <s v=""/>
    <m/>
    <n v="0"/>
    <m/>
    <m/>
    <m/>
    <m/>
    <m/>
    <m/>
    <x v="8"/>
    <x v="12"/>
  </r>
  <r>
    <n v="173"/>
    <s v="Implementación RAN"/>
    <s v="SNC-173"/>
    <x v="8"/>
    <m/>
    <m/>
    <x v="12"/>
    <m/>
    <m/>
    <m/>
    <s v=""/>
    <m/>
    <s v=""/>
    <s v=""/>
    <s v=""/>
    <s v=""/>
    <s v=""/>
    <m/>
    <n v="0"/>
    <m/>
    <m/>
    <m/>
    <m/>
    <m/>
    <m/>
    <x v="8"/>
    <x v="12"/>
  </r>
  <r>
    <n v="174"/>
    <s v="Implementación RAN"/>
    <s v="SNC-174"/>
    <x v="8"/>
    <m/>
    <m/>
    <x v="12"/>
    <m/>
    <m/>
    <m/>
    <s v=""/>
    <m/>
    <s v=""/>
    <s v=""/>
    <s v=""/>
    <s v=""/>
    <s v=""/>
    <m/>
    <n v="0"/>
    <m/>
    <m/>
    <m/>
    <m/>
    <m/>
    <m/>
    <x v="8"/>
    <x v="12"/>
  </r>
  <r>
    <n v="175"/>
    <s v="Implementación RAN"/>
    <s v="SNC-175"/>
    <x v="8"/>
    <m/>
    <m/>
    <x v="12"/>
    <m/>
    <m/>
    <m/>
    <s v=""/>
    <m/>
    <s v=""/>
    <s v=""/>
    <s v=""/>
    <s v=""/>
    <s v=""/>
    <m/>
    <n v="0"/>
    <m/>
    <m/>
    <m/>
    <m/>
    <m/>
    <m/>
    <x v="8"/>
    <x v="12"/>
  </r>
  <r>
    <n v="176"/>
    <s v="Implementación RAN"/>
    <s v="SNC-176"/>
    <x v="8"/>
    <m/>
    <m/>
    <x v="12"/>
    <m/>
    <m/>
    <m/>
    <s v=""/>
    <m/>
    <s v=""/>
    <s v=""/>
    <s v=""/>
    <s v=""/>
    <s v=""/>
    <m/>
    <n v="0"/>
    <m/>
    <m/>
    <m/>
    <m/>
    <m/>
    <m/>
    <x v="8"/>
    <x v="12"/>
  </r>
  <r>
    <n v="177"/>
    <s v="Implementación RAN"/>
    <s v="SNC-177"/>
    <x v="8"/>
    <m/>
    <m/>
    <x v="12"/>
    <m/>
    <m/>
    <m/>
    <s v=""/>
    <m/>
    <s v=""/>
    <s v=""/>
    <s v=""/>
    <s v=""/>
    <s v=""/>
    <m/>
    <n v="0"/>
    <m/>
    <m/>
    <m/>
    <m/>
    <m/>
    <m/>
    <x v="8"/>
    <x v="12"/>
  </r>
  <r>
    <n v="178"/>
    <s v="Implementación RAN"/>
    <s v="SNC-178"/>
    <x v="8"/>
    <m/>
    <m/>
    <x v="12"/>
    <m/>
    <m/>
    <m/>
    <s v=""/>
    <m/>
    <s v=""/>
    <s v=""/>
    <s v=""/>
    <s v=""/>
    <s v=""/>
    <m/>
    <n v="0"/>
    <m/>
    <m/>
    <m/>
    <m/>
    <m/>
    <m/>
    <x v="8"/>
    <x v="12"/>
  </r>
  <r>
    <n v="179"/>
    <s v="Implementación RAN"/>
    <s v="SNC-179"/>
    <x v="8"/>
    <m/>
    <m/>
    <x v="12"/>
    <m/>
    <m/>
    <m/>
    <s v=""/>
    <m/>
    <s v=""/>
    <s v=""/>
    <s v=""/>
    <s v=""/>
    <s v=""/>
    <m/>
    <n v="0"/>
    <m/>
    <m/>
    <m/>
    <m/>
    <m/>
    <m/>
    <x v="8"/>
    <x v="12"/>
  </r>
  <r>
    <n v="180"/>
    <s v="Implementación RAN"/>
    <s v="SNC-180"/>
    <x v="8"/>
    <m/>
    <m/>
    <x v="12"/>
    <m/>
    <m/>
    <m/>
    <s v=""/>
    <m/>
    <s v=""/>
    <s v=""/>
    <s v=""/>
    <s v=""/>
    <s v=""/>
    <m/>
    <n v="0"/>
    <m/>
    <m/>
    <m/>
    <m/>
    <m/>
    <m/>
    <x v="8"/>
    <x v="12"/>
  </r>
  <r>
    <n v="181"/>
    <s v="Implementación RAN"/>
    <s v="SNC-181"/>
    <x v="8"/>
    <m/>
    <m/>
    <x v="12"/>
    <m/>
    <m/>
    <m/>
    <s v=""/>
    <m/>
    <s v=""/>
    <s v=""/>
    <s v=""/>
    <s v=""/>
    <s v=""/>
    <m/>
    <n v="0"/>
    <m/>
    <m/>
    <m/>
    <m/>
    <m/>
    <m/>
    <x v="8"/>
    <x v="12"/>
  </r>
  <r>
    <n v="182"/>
    <s v="Implementación RAN"/>
    <s v="SNC-182"/>
    <x v="8"/>
    <m/>
    <m/>
    <x v="12"/>
    <m/>
    <m/>
    <m/>
    <s v=""/>
    <m/>
    <s v=""/>
    <s v=""/>
    <s v=""/>
    <s v=""/>
    <s v=""/>
    <m/>
    <n v="0"/>
    <m/>
    <m/>
    <m/>
    <m/>
    <m/>
    <m/>
    <x v="8"/>
    <x v="12"/>
  </r>
  <r>
    <n v="183"/>
    <s v="Implementación RAN"/>
    <s v="SNC-183"/>
    <x v="8"/>
    <m/>
    <m/>
    <x v="12"/>
    <m/>
    <m/>
    <m/>
    <s v=""/>
    <m/>
    <s v=""/>
    <s v=""/>
    <s v=""/>
    <s v=""/>
    <s v=""/>
    <m/>
    <n v="0"/>
    <m/>
    <m/>
    <m/>
    <m/>
    <m/>
    <m/>
    <x v="8"/>
    <x v="12"/>
  </r>
  <r>
    <n v="184"/>
    <s v="Implementación RAN"/>
    <s v="SNC-184"/>
    <x v="8"/>
    <m/>
    <m/>
    <x v="12"/>
    <m/>
    <m/>
    <m/>
    <s v=""/>
    <m/>
    <s v=""/>
    <s v=""/>
    <s v=""/>
    <s v=""/>
    <s v=""/>
    <m/>
    <n v="0"/>
    <m/>
    <m/>
    <m/>
    <m/>
    <m/>
    <m/>
    <x v="8"/>
    <x v="12"/>
  </r>
  <r>
    <n v="185"/>
    <s v="Implementación RAN"/>
    <s v="SNC-185"/>
    <x v="8"/>
    <m/>
    <m/>
    <x v="12"/>
    <m/>
    <m/>
    <m/>
    <s v=""/>
    <m/>
    <s v=""/>
    <s v=""/>
    <s v=""/>
    <s v=""/>
    <s v=""/>
    <m/>
    <n v="0"/>
    <m/>
    <m/>
    <m/>
    <m/>
    <m/>
    <m/>
    <x v="8"/>
    <x v="12"/>
  </r>
  <r>
    <n v="186"/>
    <s v="Implementación RAN"/>
    <s v="SNC-186"/>
    <x v="8"/>
    <m/>
    <m/>
    <x v="12"/>
    <m/>
    <m/>
    <m/>
    <s v=""/>
    <m/>
    <s v=""/>
    <s v=""/>
    <s v=""/>
    <s v=""/>
    <s v=""/>
    <m/>
    <n v="0"/>
    <m/>
    <m/>
    <m/>
    <m/>
    <m/>
    <m/>
    <x v="8"/>
    <x v="12"/>
  </r>
  <r>
    <n v="187"/>
    <s v="Implementación RAN"/>
    <s v="SNC-187"/>
    <x v="8"/>
    <m/>
    <m/>
    <x v="12"/>
    <m/>
    <m/>
    <m/>
    <s v=""/>
    <m/>
    <s v=""/>
    <s v=""/>
    <s v=""/>
    <s v=""/>
    <s v=""/>
    <m/>
    <n v="0"/>
    <m/>
    <m/>
    <m/>
    <m/>
    <m/>
    <m/>
    <x v="8"/>
    <x v="12"/>
  </r>
  <r>
    <n v="188"/>
    <s v="Implementación RAN"/>
    <s v="SNC-188"/>
    <x v="8"/>
    <m/>
    <m/>
    <x v="12"/>
    <m/>
    <m/>
    <m/>
    <s v=""/>
    <m/>
    <s v=""/>
    <s v=""/>
    <s v=""/>
    <s v=""/>
    <s v=""/>
    <m/>
    <n v="0"/>
    <m/>
    <m/>
    <m/>
    <m/>
    <m/>
    <m/>
    <x v="8"/>
    <x v="12"/>
  </r>
  <r>
    <n v="189"/>
    <s v="Implementación RAN"/>
    <s v="SNC-189"/>
    <x v="8"/>
    <m/>
    <m/>
    <x v="12"/>
    <m/>
    <m/>
    <m/>
    <s v=""/>
    <m/>
    <s v=""/>
    <s v=""/>
    <s v=""/>
    <s v=""/>
    <s v=""/>
    <m/>
    <n v="0"/>
    <m/>
    <m/>
    <m/>
    <m/>
    <m/>
    <m/>
    <x v="8"/>
    <x v="12"/>
  </r>
  <r>
    <n v="190"/>
    <s v="Implementación RAN"/>
    <s v="SNC-190"/>
    <x v="8"/>
    <m/>
    <m/>
    <x v="12"/>
    <m/>
    <m/>
    <m/>
    <s v=""/>
    <m/>
    <s v=""/>
    <s v=""/>
    <s v=""/>
    <s v=""/>
    <s v=""/>
    <m/>
    <n v="0"/>
    <m/>
    <m/>
    <m/>
    <m/>
    <m/>
    <m/>
    <x v="8"/>
    <x v="12"/>
  </r>
  <r>
    <n v="191"/>
    <s v="Implementación RAN"/>
    <s v="SNC-191"/>
    <x v="8"/>
    <m/>
    <m/>
    <x v="12"/>
    <m/>
    <m/>
    <m/>
    <s v=""/>
    <m/>
    <s v=""/>
    <s v=""/>
    <s v=""/>
    <s v=""/>
    <s v=""/>
    <m/>
    <n v="0"/>
    <m/>
    <m/>
    <m/>
    <m/>
    <m/>
    <m/>
    <x v="8"/>
    <x v="12"/>
  </r>
  <r>
    <n v="192"/>
    <s v="Implementación RAN"/>
    <s v="SNC-192"/>
    <x v="8"/>
    <m/>
    <m/>
    <x v="12"/>
    <m/>
    <m/>
    <m/>
    <s v=""/>
    <m/>
    <s v=""/>
    <s v=""/>
    <s v=""/>
    <s v=""/>
    <s v=""/>
    <m/>
    <n v="0"/>
    <m/>
    <m/>
    <m/>
    <m/>
    <m/>
    <m/>
    <x v="8"/>
    <x v="12"/>
  </r>
  <r>
    <n v="193"/>
    <s v="Implementación RAN"/>
    <s v="SNC-193"/>
    <x v="8"/>
    <m/>
    <m/>
    <x v="12"/>
    <m/>
    <m/>
    <m/>
    <s v=""/>
    <m/>
    <s v=""/>
    <s v=""/>
    <s v=""/>
    <s v=""/>
    <s v=""/>
    <m/>
    <n v="0"/>
    <m/>
    <m/>
    <m/>
    <m/>
    <m/>
    <m/>
    <x v="8"/>
    <x v="12"/>
  </r>
  <r>
    <n v="194"/>
    <s v="Implementación RAN"/>
    <s v="SNC-194"/>
    <x v="8"/>
    <m/>
    <m/>
    <x v="12"/>
    <m/>
    <m/>
    <m/>
    <s v=""/>
    <m/>
    <s v=""/>
    <s v=""/>
    <s v=""/>
    <s v=""/>
    <s v=""/>
    <m/>
    <n v="0"/>
    <m/>
    <m/>
    <m/>
    <m/>
    <m/>
    <m/>
    <x v="8"/>
    <x v="12"/>
  </r>
  <r>
    <n v="195"/>
    <s v="Implementación RAN"/>
    <s v="SNC-195"/>
    <x v="8"/>
    <m/>
    <m/>
    <x v="12"/>
    <m/>
    <m/>
    <m/>
    <s v=""/>
    <m/>
    <s v=""/>
    <s v=""/>
    <s v=""/>
    <s v=""/>
    <s v=""/>
    <m/>
    <n v="0"/>
    <m/>
    <m/>
    <m/>
    <m/>
    <m/>
    <m/>
    <x v="8"/>
    <x v="12"/>
  </r>
  <r>
    <n v="196"/>
    <s v="Implementación RAN"/>
    <s v="SNC-196"/>
    <x v="8"/>
    <m/>
    <m/>
    <x v="12"/>
    <m/>
    <m/>
    <m/>
    <s v=""/>
    <m/>
    <s v=""/>
    <s v=""/>
    <s v=""/>
    <s v=""/>
    <s v=""/>
    <m/>
    <n v="0"/>
    <m/>
    <m/>
    <m/>
    <m/>
    <m/>
    <m/>
    <x v="8"/>
    <x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6">
  <r>
    <n v="1"/>
    <s v="Implementación RAN"/>
    <s v="SNC-001"/>
    <x v="0"/>
    <s v="0135179_LM_Deposito_SAT"/>
    <s v="José Arroyo"/>
    <x v="0"/>
    <d v="2020-02-22T00:00:00"/>
    <s v="Afectacion de Cruce de Sectores fuera de horario Efectivo de Afectacion "/>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3-05T00:00:00"/>
    <n v="12"/>
    <n v="0"/>
    <n v="5.0000000000000001E-4"/>
    <n v="0"/>
    <n v="0"/>
    <n v="0"/>
    <s v="Cerrado"/>
    <x v="0"/>
  </r>
  <r>
    <n v="2"/>
    <s v="Implementación RAN"/>
    <s v="SNC-002"/>
    <x v="1"/>
    <s v="0134249_LM_El_Condor"/>
    <s v="Ronald Buendia"/>
    <x v="1"/>
    <d v="2020-01-31T00:00:00"/>
    <s v="Cruce de Sectores"/>
    <s v="Macro"/>
    <s v="Penalidad Macro"/>
    <s v="SNC_PROV_08"/>
    <s v="Incumplimiento a la atención de reclamos y no conformidades"/>
    <s v="Grave"/>
    <s v="NC, penalidad, reasignación, veto"/>
    <s v="Coordinador del proyecto"/>
    <s v="0.5% por cada día de retraso del servicio asignado.  De registrarse una segunda vez esta misma deficiencia en dos meses de operación el % ascenderá a 2%,de registrarse una tercera vez el % a penalizar será del 5%, de volverse a registrar estas deficiencias en el periodo de dos  meses  de operación continua, por una cuarta vez se evaluara la continuidad de contratista en el proyecto."/>
    <d v="2020-02-05T00:00:00"/>
    <n v="5"/>
    <n v="11000"/>
    <n v="5.0000000000000001E-3"/>
    <n v="23"/>
    <n v="1265"/>
    <n v="9735"/>
    <s v="Cerrado"/>
    <x v="1"/>
  </r>
  <r>
    <n v="3"/>
    <s v="Implementación RAN"/>
    <s v="SNC-003"/>
    <x v="2"/>
    <s v="0136041_LM_Citibank"/>
    <s v="Dennis Evangelista"/>
    <x v="0"/>
    <d v="2020-03-30T00:00:00"/>
    <s v="Mal manejo de Seguridad en el trabajo."/>
    <s v="RANCO"/>
    <s v=""/>
    <s v="SNC_PROV_SST_04"/>
    <s v="No adoptar las medidas preventivas aplicables a las condiciones de trabajo de los que se derive un riesgo grave e inminente para la seguridad de los trabajadores."/>
    <s v="Grave"/>
    <s v="NC, penalidad, reasignación, veto"/>
    <s v="Coordinador del proyecto "/>
    <s v="No adoptar las medidas preventivas aplicables a las condiciones de trabajo de los que se derive un riesgo grave e inminente para la seguridad de los trabajadores."/>
    <m/>
    <n v="-43920"/>
    <n v="0"/>
    <n v="5.0000000000000001E-4"/>
    <n v="0"/>
    <n v="0"/>
    <n v="0"/>
    <s v="Cerrado"/>
    <x v="2"/>
  </r>
  <r>
    <n v="4"/>
    <s v="Implementación RAN"/>
    <s v="SNC-004"/>
    <x v="2"/>
    <s v="0130463_LM_PanNorte_Km33"/>
    <s v="Dennis Evangelista"/>
    <x v="0"/>
    <d v="2020-03-30T00:00:00"/>
    <s v="Afectación de Servicio fuera del Rango de Afectación."/>
    <s v="RANCO"/>
    <s v=""/>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m/>
    <n v="-43920"/>
    <n v="0"/>
    <n v="5.0000000000000001E-4"/>
    <n v="0"/>
    <n v="0"/>
    <n v="0"/>
    <s v="Cerrado"/>
    <x v="2"/>
  </r>
  <r>
    <n v="5"/>
    <s v="Implementación RAN"/>
    <s v="SNC-005"/>
    <x v="2"/>
    <s v="0136041_LM_Citibank"/>
    <s v="Dennis Evangelista"/>
    <x v="0"/>
    <d v="2020-04-02T00:00:00"/>
    <s v="Afectación de Servicio fuera del Rango de Afectación."/>
    <s v="RANCO"/>
    <s v=""/>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m/>
    <n v="-43923"/>
    <n v="0"/>
    <n v="5.0000000000000001E-4"/>
    <n v="0"/>
    <n v="0"/>
    <n v="0"/>
    <s v="Cerrado"/>
    <x v="3"/>
  </r>
  <r>
    <n v="6"/>
    <s v="Implementación RAN"/>
    <s v="SNC-006"/>
    <x v="3"/>
    <s v="0134352_AY_Querobamba_Ciudad"/>
    <s v="Rodolfo Barreto"/>
    <x v="2"/>
    <d v="2020-02-14T00:00:00"/>
    <s v="Incumplimiento injustificado en el tiempo máximo de implementación."/>
    <s v="Macro"/>
    <s v="Penalidad Macro"/>
    <s v="SNC_PROV_01"/>
    <s v="Incumplimiento injustificado en el tiempo máximo de implementación."/>
    <s v="Grave"/>
    <s v="NC, penalidad, reasignación, veto"/>
    <s v="Coordinador del proyecto"/>
    <s v="0.5% del precio total de la implementación por día de atraso (con un máximo de 20% dependiendo de la criticidad del sitio implementado)."/>
    <d v="2020-02-24T00:00:00"/>
    <n v="10"/>
    <n v="879.78"/>
    <n v="5.0000000000000001E-3"/>
    <n v="5"/>
    <n v="21.994500000000002"/>
    <n v="857.78549999999996"/>
    <s v="Cerrado"/>
    <x v="0"/>
  </r>
  <r>
    <n v="7"/>
    <s v="Implementación RAN"/>
    <s v="SNC-007"/>
    <x v="3"/>
    <s v="0132938_AP_Pacobamba"/>
    <s v="Rodolfo Barreto"/>
    <x v="2"/>
    <d v="2020-02-13T00:00:00"/>
    <s v="Incumplimiento injustificado en el tiempo máximo de implementación."/>
    <s v="Macro"/>
    <s v="Penalidad Macro"/>
    <s v="SNC_PROV_01"/>
    <s v="Incumplimiento injustificado en el tiempo máximo de implementación."/>
    <s v="Grave"/>
    <s v="NC, penalidad, reasignación, veto"/>
    <s v="Coordinador del proyecto"/>
    <s v="0.5% del precio total de la implementación por día de atraso (con un máximo de 20% dependiendo de la criticidad del sitio implementado)."/>
    <d v="2020-02-21T00:00:00"/>
    <n v="8"/>
    <n v="463.68"/>
    <n v="5.0000000000000001E-3"/>
    <n v="5"/>
    <n v="11.592000000000001"/>
    <n v="452.08800000000002"/>
    <s v="Cerrado"/>
    <x v="0"/>
  </r>
  <r>
    <n v="8"/>
    <s v="Implementación RAN"/>
    <s v="SNC-008"/>
    <x v="3"/>
    <s v="0132940_AP_San_Huancaray"/>
    <s v="Rodolfo Barreto"/>
    <x v="2"/>
    <d v="2020-02-12T00:00:00"/>
    <s v="Incumplimiento injustificado en el tiempo máximo de implementación."/>
    <s v="Macro"/>
    <s v="Penalidad Macro"/>
    <s v="SNC_PROV_01"/>
    <s v="Incumplimiento injustificado en el tiempo máximo de implementación."/>
    <s v="Grave"/>
    <s v="NC, penalidad, reasignación, veto"/>
    <s v="Coordinador del proyecto"/>
    <s v="0.5% del precio total de la implementación por día de atraso (con un máximo de 20% dependiendo de la criticidad del sitio implementado)."/>
    <d v="2020-02-24T00:00:00"/>
    <n v="12"/>
    <n v="2964.08"/>
    <n v="5.0000000000000001E-3"/>
    <n v="5"/>
    <n v="74.102000000000004"/>
    <n v="2889.9780000000001"/>
    <s v="Cerrado"/>
    <x v="0"/>
  </r>
  <r>
    <n v="9"/>
    <s v="Implementación RAN"/>
    <s v="SNC-009"/>
    <x v="3"/>
    <s v="0131576_CA_Cochabamba_Cachacar"/>
    <s v="Rodolfo Barreto"/>
    <x v="2"/>
    <d v="2020-02-12T00:00:00"/>
    <s v="Incumplimiento injustificado en el tiempo máximo de implementación."/>
    <s v="Macro"/>
    <s v="Penalidad Macro"/>
    <s v="SNC_PROV_01"/>
    <s v="Incumplimiento injustificado en el tiempo máximo de implementación."/>
    <s v="Grave"/>
    <s v="NC, penalidad, reasignación, veto"/>
    <s v="Coordinador del proyecto"/>
    <s v="0.5% del precio total de la implementación por día de atraso (con un máximo de 20% dependiendo de la criticidad del sitio implementado)."/>
    <d v="2020-02-29T00:00:00"/>
    <n v="17"/>
    <n v="879.78"/>
    <n v="5.0000000000000001E-3"/>
    <n v="5"/>
    <n v="21.994500000000002"/>
    <n v="857.78549999999996"/>
    <s v="Cerrado"/>
    <x v="0"/>
  </r>
  <r>
    <n v="10"/>
    <s v="Implementación RAN"/>
    <s v="SNC-010"/>
    <x v="3"/>
    <s v="0130918_AQ_Sihuas"/>
    <s v="Rodolfo Barreto"/>
    <x v="2"/>
    <d v="2020-01-19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1-19T00:00:00"/>
    <n v="0"/>
    <n v="2851.7"/>
    <n v="5.0000000000000001E-4"/>
    <n v="0"/>
    <n v="0"/>
    <n v="2851.7"/>
    <s v="Cerrado"/>
    <x v="1"/>
  </r>
  <r>
    <n v="11"/>
    <s v="Implementación RAN"/>
    <s v="SNC-011"/>
    <x v="4"/>
    <s v="0130588_LM_Nuevo_Imperial_Pueb"/>
    <s v="Ronald Buendia"/>
    <x v="3"/>
    <d v="2020-06-15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6-17T00:00:00"/>
    <n v="2"/>
    <n v="5739.2556480000003"/>
    <n v="5.0000000000000001E-4"/>
    <n v="45"/>
    <n v="129.13325208000001"/>
    <n v="5610.1223959200006"/>
    <s v="Cerrado"/>
    <x v="4"/>
  </r>
  <r>
    <n v="12"/>
    <s v="Implementación RAN"/>
    <s v="SNC-012"/>
    <x v="1"/>
    <s v="013252226_LM_Los_Faisanes"/>
    <s v="Ronald Buendia"/>
    <x v="3"/>
    <d v="2020-06-25T00:00:00"/>
    <s v="AFECTACION DE SERVICIO SIN VM PROGRAMADO EN NODO GUL DURANTE 29 MIN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6-24T00:00:00"/>
    <n v="-1"/>
    <n v="5739.2556480000003"/>
    <n v="5.0000000000000001E-4"/>
    <n v="14"/>
    <n v="40.174789536000006"/>
    <n v="5699.0808584639999"/>
    <s v="Cerrado"/>
    <x v="4"/>
  </r>
  <r>
    <n v="13"/>
    <s v="Implementación RAN"/>
    <s v="SNC-013"/>
    <x v="2"/>
    <s v="0130977_AQ_Cipesac"/>
    <s v="Rodolfo Barreto"/>
    <x v="2"/>
    <d v="2020-06-19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s v="19-06-20"/>
    <n v="0"/>
    <n v="786.09"/>
    <n v="5.0000000000000001E-4"/>
    <n v="0"/>
    <n v="0"/>
    <n v="786.09"/>
    <s v="Cerrado"/>
    <x v="4"/>
  </r>
  <r>
    <n v="14"/>
    <s v="Implementación RAN"/>
    <s v="SNC-014"/>
    <x v="2"/>
    <s v="0130676_LI_Jose_Bejar"/>
    <s v="Rodolfo Barreto"/>
    <x v="2"/>
    <d v="2020-06-21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s v="21-06-20"/>
    <n v="0"/>
    <n v="5165.33"/>
    <n v="5.0000000000000001E-4"/>
    <n v="83"/>
    <b v="0"/>
    <n v="5165.33"/>
    <s v="Cerrado"/>
    <x v="4"/>
  </r>
  <r>
    <n v="15"/>
    <s v="Implementación RAN"/>
    <s v="SNC-015"/>
    <x v="2"/>
    <s v="0135521_LM_Prolongaciones"/>
    <s v="Rodolfo Barreto"/>
    <x v="4"/>
    <d v="2020-06-19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s v="19-06-20"/>
    <n v="0"/>
    <n v="3985.59"/>
    <n v="5.0000000000000001E-4"/>
    <n v="115"/>
    <n v="229.17142500000003"/>
    <n v="3756.4185750000001"/>
    <s v="Cerrado"/>
    <x v="4"/>
  </r>
  <r>
    <n v="16"/>
    <s v="Implementación RAN"/>
    <s v="SNC-016"/>
    <x v="5"/>
    <s v="0130959_AQ_Casa_Blanca_Aqp"/>
    <s v="Ronald Buendia"/>
    <x v="0"/>
    <d v="2020-07-17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7-17T00:00:00"/>
    <n v="0"/>
    <m/>
    <n v="5.0000000000000001E-4"/>
    <m/>
    <m/>
    <m/>
    <s v="Cerrado"/>
    <x v="5"/>
  </r>
  <r>
    <n v="17"/>
    <s v="Implementación RAN"/>
    <s v="SNC-017"/>
    <x v="5"/>
    <s v="0131039_LA_Super_Belaunde"/>
    <s v="Ronald Buendia"/>
    <x v="0"/>
    <d v="2020-07-21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7-21T00:00:00"/>
    <n v="0"/>
    <m/>
    <n v="5.0000000000000001E-4"/>
    <m/>
    <m/>
    <m/>
    <s v="Cerrado"/>
    <x v="5"/>
  </r>
  <r>
    <n v="18"/>
    <s v="Implementación RAN"/>
    <s v="SNC-018"/>
    <x v="2"/>
    <s v="0132221_IC_Chavalina"/>
    <s v="Rodolfo Barreto"/>
    <x v="5"/>
    <d v="2020-07-04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7-07T00:00:00"/>
    <n v="3"/>
    <n v="5739.26"/>
    <n v="5.0000000000000001E-4"/>
    <n v="60"/>
    <n v="172.17779999999999"/>
    <n v="5567.0821999999998"/>
    <s v="Cerrado"/>
    <x v="5"/>
  </r>
  <r>
    <n v="19"/>
    <s v="Implementación RAN"/>
    <s v="SNC-019"/>
    <x v="6"/>
    <s v="0132522_LH_Ripan"/>
    <s v="Ronald Buendia"/>
    <x v="6"/>
    <d v="2020-07-24T00:00:00"/>
    <s v="Cumplimiento en tiempo y calidad de entregables"/>
    <s v="Macro"/>
    <s v="Penalidad Macro"/>
    <s v="SNC_PROV_02"/>
    <s v="Incumplimiento del tiempo de entrega de los Entregables y/o no coinciden con el trabajo realizado."/>
    <s v="Grave"/>
    <s v="NC, penalidad, reasignación, veto"/>
    <s v="Coordinador del proyecto"/>
    <s v="0.5% del precio total por el servicio de  implementación asignado."/>
    <d v="2020-07-24T00:00:00"/>
    <n v="0"/>
    <n v="12824.35"/>
    <n v="5.0000000000000001E-3"/>
    <n v="40"/>
    <n v="2564.8700000000003"/>
    <n v="10259.48"/>
    <m/>
    <x v="5"/>
  </r>
  <r>
    <n v="20"/>
    <s v="Implementación RAN"/>
    <s v="SNC-020"/>
    <x v="5"/>
    <s v="0130606_LI_El_Alambre"/>
    <s v="Ronald Buendia"/>
    <x v="0"/>
    <d v="2020-07-26T00:00:00"/>
    <s v="Preservación y custodia de equipos/activos"/>
    <s v="Macro"/>
    <s v="Penalidad Macro"/>
    <s v="SNC_PROV_06"/>
    <s v="Daños a activos fijos o inmobiliarios en proceso de implementación"/>
    <s v="Muy Grave"/>
    <s v="NC, penalidad, reasignación, veto"/>
    <s v="Coordinador del proyecto"/>
    <s v="Reposición completa por los daños ocasionados, en caso de reincidencia se cobraría multa del 1% del precio de la implementación en curso, más la reposición completa de  los daños. De registrarse  una tercera vez se analizara la continuidad de la contratista."/>
    <d v="2020-07-26T00:00:00"/>
    <n v="0"/>
    <m/>
    <n v="0"/>
    <m/>
    <n v="0"/>
    <n v="0"/>
    <m/>
    <x v="5"/>
  </r>
  <r>
    <n v="21"/>
    <s v="Implementación RAN"/>
    <s v="SNC-021"/>
    <x v="5"/>
    <s v="0134126_LI_Libertad"/>
    <s v="Ronald Buendia"/>
    <x v="0"/>
    <d v="2020-07-26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7-26T00:00:00"/>
    <n v="0"/>
    <m/>
    <n v="5.0000000000000001E-4"/>
    <m/>
    <n v="0"/>
    <n v="0"/>
    <m/>
    <x v="5"/>
  </r>
  <r>
    <n v="22"/>
    <s v="Implementación RAN"/>
    <s v="SNC-022"/>
    <x v="5"/>
    <s v="0136059_LM_Carlos_Anon"/>
    <s v="Ronald Buendia"/>
    <x v="0"/>
    <d v="2020-09-07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07T00:00:00"/>
    <n v="0"/>
    <m/>
    <n v="5.0000000000000001E-4"/>
    <m/>
    <n v="0"/>
    <n v="0"/>
    <m/>
    <x v="6"/>
  </r>
  <r>
    <n v="23"/>
    <s v="Implementación RAN"/>
    <s v="SNC-023"/>
    <x v="5"/>
    <s v="0130212_LM_PetroPeru"/>
    <s v="Ronald Buendia"/>
    <x v="0"/>
    <d v="2020-09-08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07T00:00:00"/>
    <n v="-1"/>
    <m/>
    <n v="5.0000000000000001E-4"/>
    <m/>
    <n v="0"/>
    <n v="0"/>
    <m/>
    <x v="6"/>
  </r>
  <r>
    <n v="24"/>
    <s v="Implementación RAN"/>
    <s v="SNC-024"/>
    <x v="5"/>
    <s v="0130042_LM_Cavenecia"/>
    <s v="Ronald Buendia"/>
    <x v="0"/>
    <d v="2020-09-16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07T00:00:00"/>
    <n v="-9"/>
    <m/>
    <n v="5.0000000000000001E-4"/>
    <m/>
    <n v="0"/>
    <n v="0"/>
    <m/>
    <x v="6"/>
  </r>
  <r>
    <n v="25"/>
    <s v="Implementación RAN"/>
    <s v="SNC-025"/>
    <x v="5"/>
    <s v="0130042_LM_Cavenecia"/>
    <s v="Ronald Buendia"/>
    <x v="0"/>
    <d v="2020-09-16T00:00:00"/>
    <s v="Cumplimiento de procedimientos de acceso"/>
    <s v="Macro"/>
    <s v="Penalidad Macro"/>
    <s v="SNC_PROV_04"/>
    <s v="Incumplimiento de procedimientos de acceso a sites de Entel."/>
    <s v="Muy Grave"/>
    <s v="NC, penalidad, reasignación, veto"/>
    <s v="Coordinador del proyecto"/>
    <s v="5% del precio total del servicio de  implementación asignado. De registrarse una segunda vez esta misma deficiencia en dos meses de operación el % ascenderá a 10%, una tercera vez se analizará la continuidad de la contratista."/>
    <d v="2020-09-17T00:00:00"/>
    <n v="1"/>
    <m/>
    <n v="0.05"/>
    <m/>
    <n v="0"/>
    <n v="0"/>
    <m/>
    <x v="6"/>
  </r>
  <r>
    <n v="26"/>
    <s v="Implementación RAN"/>
    <s v="SNC-026"/>
    <x v="5"/>
    <s v="0130132_LM_Centro_Empresarial"/>
    <s v="Ronald Buendia"/>
    <x v="0"/>
    <d v="2020-09-16T00:00:00"/>
    <s v="Cumplimiento de procedimientos de acceso"/>
    <s v="Macro"/>
    <s v="Penalidad Macro"/>
    <s v="SNC_PROV_04"/>
    <s v="Incumplimiento de procedimientos de acceso a sites de Entel."/>
    <s v="Muy Grave"/>
    <s v="NC, penalidad, reasignación, veto"/>
    <s v="Coordinador del proyecto"/>
    <s v="5% del precio total del servicio de  implementación asignado. De registrarse una segunda vez esta misma deficiencia en dos meses de operación el % ascenderá a 10%, una tercera vez se analizará la continuidad de la contratista."/>
    <d v="2020-09-17T00:00:00"/>
    <n v="1"/>
    <m/>
    <n v="0.05"/>
    <m/>
    <n v="0"/>
    <n v="0"/>
    <m/>
    <x v="6"/>
  </r>
  <r>
    <n v="27"/>
    <s v="Implementación RAN"/>
    <s v="SNC-027"/>
    <x v="5"/>
    <s v="0136039_LM_Antequera"/>
    <s v="Ronald Buendia"/>
    <x v="0"/>
    <d v="2020-09-16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24T00:00:00"/>
    <n v="8"/>
    <m/>
    <n v="5.0000000000000001E-4"/>
    <m/>
    <n v="0"/>
    <n v="0"/>
    <m/>
    <x v="6"/>
  </r>
  <r>
    <n v="28"/>
    <s v="Implementación RAN"/>
    <s v="SNC-028"/>
    <x v="5"/>
    <s v="0134644_LM_C_y_Moreyra_R1"/>
    <s v="Ronald Buendia"/>
    <x v="0"/>
    <d v="2020-09-19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30T00:00:00"/>
    <n v="11"/>
    <m/>
    <n v="5.0000000000000001E-4"/>
    <m/>
    <n v="0"/>
    <n v="0"/>
    <m/>
    <x v="6"/>
  </r>
  <r>
    <n v="29"/>
    <s v="Implementación RAN"/>
    <s v="SNC-029"/>
    <x v="5"/>
    <s v="0130131_LM_Parodi"/>
    <s v="Ronald Buendia"/>
    <x v="0"/>
    <d v="2020-09-14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30T00:00:00"/>
    <n v="16"/>
    <m/>
    <n v="5.0000000000000001E-4"/>
    <m/>
    <n v="0"/>
    <n v="0"/>
    <m/>
    <x v="6"/>
  </r>
  <r>
    <n v="30"/>
    <s v="Implementación RAN"/>
    <s v="SNC-030"/>
    <x v="5"/>
    <s v="0136038_LM_Peruval"/>
    <s v="Ronald Buendia"/>
    <x v="0"/>
    <d v="2020-09-30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30T00:00:00"/>
    <n v="0"/>
    <m/>
    <n v="5.0000000000000001E-4"/>
    <m/>
    <n v="0"/>
    <n v="0"/>
    <m/>
    <x v="6"/>
  </r>
  <r>
    <n v="31"/>
    <s v="Implementación RAN"/>
    <s v="SNC-031"/>
    <x v="5"/>
    <s v="0130025_LM_Arequipa_R1"/>
    <s v="Ronald Buendia"/>
    <x v="0"/>
    <d v="2020-10-01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10-01T00:00:00"/>
    <n v="0"/>
    <m/>
    <n v="5.0000000000000001E-4"/>
    <m/>
    <n v="0"/>
    <n v="0"/>
    <m/>
    <x v="7"/>
  </r>
  <r>
    <n v="32"/>
    <s v="Implementación RAN"/>
    <s v="SNC-032"/>
    <x v="2"/>
    <s v="0130811_IC_Ocucaje"/>
    <s v="Paulo Vidal"/>
    <x v="0"/>
    <d v="2020-09-28T00:00:00"/>
    <s v="No se subsanó a tiempo el reporte SST y sanitario observado, debido a que los documentos SST adjuntos no correspondían a lo solicitado en la celda Matriz IPERC"/>
    <s v="Rev. Entregables y QA"/>
    <s v=""/>
    <s v="SNC_PROV_51"/>
    <s v="No hacer seguimiento a las contratas que tienen observaciones en la documentación presentada."/>
    <s v="Incumplimiento Mayor"/>
    <s v="NC, penalidad, reasignación, veto"/>
    <s v="Coordinador responsable del servicio"/>
    <s v="3% del monto facturado por el servicio brindado en el mes (monto de Orden de Compra) en que se cometió el incumplimiento."/>
    <s v="Pendiente"/>
    <e v="#VALUE!"/>
    <m/>
    <n v="0.03"/>
    <n v="1"/>
    <n v="0"/>
    <n v="0"/>
    <m/>
    <x v="6"/>
  </r>
  <r>
    <n v="33"/>
    <s v="Implementación RAN"/>
    <s v="SNC-033"/>
    <x v="2"/>
    <s v="0131029_LA_Santa_Rosa_Lamb"/>
    <s v="Paulo Vidal"/>
    <x v="0"/>
    <d v="2020-09-28T00:00:00"/>
    <s v="No se cargó el reporte SST y sanitario."/>
    <s v="SST"/>
    <s v="Penalidad SST"/>
    <s v="SNC_PROV_SST_16"/>
    <s v="El incumplimiento de las obligaciones de implementar y mantener actualizados los registros o disponer de la documentación que exigen las disposiciones legales vigentes relacionadas con la SST y aquellas que ENTEL disponga."/>
    <s v="Moderada"/>
    <s v="NC, penalidad, reasignación, veto"/>
    <s v="Coordinador del proyecto "/>
    <n v="0.1"/>
    <s v="Pendiente"/>
    <e v="#VALUE!"/>
    <m/>
    <n v="0.1"/>
    <n v="1"/>
    <n v="0"/>
    <n v="0"/>
    <m/>
    <x v="6"/>
  </r>
  <r>
    <n v="34"/>
    <s v="Implementación RAN"/>
    <s v="SNC-034"/>
    <x v="2"/>
    <s v="0130276_LM_Manuel_Prado"/>
    <s v="Paulo Vidal"/>
    <x v="3"/>
    <d v="2020-09-29T00:00:00"/>
    <s v="Se cargo el reporte SST y sanitario, fuera de hora."/>
    <s v="SST"/>
    <s v="Penalidad SST"/>
    <s v="SNC_PROV_SST_16"/>
    <s v="El incumplimiento de las obligaciones de implementar y mantener actualizados los registros o disponer de la documentación que exigen las disposiciones legales vigentes relacionadas con la SST y aquellas que ENTEL disponga."/>
    <s v="Moderada"/>
    <s v="NC, penalidad, reasignación, veto"/>
    <s v="Coordinador del proyecto "/>
    <n v="0.1"/>
    <s v="Pendiente"/>
    <e v="#VALUE!"/>
    <m/>
    <n v="0.1"/>
    <n v="1"/>
    <n v="0"/>
    <n v="0"/>
    <m/>
    <x v="6"/>
  </r>
  <r>
    <n v="35"/>
    <s v="Implementación RAN"/>
    <s v="SNC-035"/>
    <x v="2"/>
    <s v="0131029_LA_Santa_Rosa_Lamb"/>
    <s v="Paulo Vidal"/>
    <x v="0"/>
    <d v="2020-10-01T00:00:00"/>
    <s v="No se subsanó a tiempo el reporte SST y sanitario, observado debido a que los documentos SST y las fotos adjuntos no correspondían a lo solicitado en la celda Formato de Checklist de Herramientas."/>
    <s v="Rev. Entregables y QA"/>
    <s v=""/>
    <s v="SNC_PROV_51"/>
    <s v="No hacer seguimiento a las contratas que tienen observaciones en la documentación presentada."/>
    <s v="Incumplimiento Mayor"/>
    <s v="NC, penalidad, reasignación, veto"/>
    <s v="Coordinador responsable del servicio"/>
    <s v="3% del monto facturado por el servicio brindado en el mes (monto de Orden de Compra) en que se cometió el incumplimiento."/>
    <s v="Pendiente"/>
    <e v="#VALUE!"/>
    <m/>
    <n v="0.03"/>
    <n v="1"/>
    <n v="0"/>
    <n v="0"/>
    <m/>
    <x v="7"/>
  </r>
  <r>
    <n v="36"/>
    <s v="Implementación RAN"/>
    <s v="SNC-036"/>
    <x v="2"/>
    <s v="0132402_CA_Estadio_Jaen"/>
    <s v="Paulo Vidal"/>
    <x v="7"/>
    <d v="2020-10-03T00:00:00"/>
    <s v="Los documentos SST y las fotos adjuntas no corresponden a lo solicitado en la celdas del reporte SST y sanitario."/>
    <s v="Rev. Entregables y QA"/>
    <s v=""/>
    <s v="SNC_PROV_51"/>
    <s v="No hacer seguimiento a las contratas que tienen observaciones en la documentación presentada."/>
    <s v="Incumplimiento Mayor"/>
    <s v="NC, penalidad, reasignación, veto"/>
    <s v="Coordinador responsable del servicio"/>
    <s v="3% del monto facturado por el servicio brindado en el mes (monto de Orden de Compra) en que se cometió el incumplimiento."/>
    <s v="Pendiente"/>
    <e v="#VALUE!"/>
    <m/>
    <n v="0.03"/>
    <n v="1"/>
    <n v="0"/>
    <n v="0"/>
    <m/>
    <x v="7"/>
  </r>
  <r>
    <n v="37"/>
    <s v="Implementación RAN"/>
    <s v="SNC-037"/>
    <x v="2"/>
    <s v="0130382_LM_Medio_Mundo"/>
    <s v="Paulo Vidal"/>
    <x v="7"/>
    <d v="2020-10-01T00:00:00"/>
    <s v="No tenian ningun documento de seguridad en el sitio, objetando que lo tiene en la movilidad por ser un cerro"/>
    <s v="SST"/>
    <s v="Penalidad SST"/>
    <s v="SNC_PROV_SST_05"/>
    <s v="El incumplimiento de las obligaciones establecidas en las disposiciones relacionadas con la SST, en materia de coordinación entre empresas que desarrollen actividades en un mismo centro de trabajo, cuando se trate de actividades calificadas de alto riesgo."/>
    <s v="Grave"/>
    <s v="NC, penalidad, reasignación, veto"/>
    <s v="Coordinador del proyecto "/>
    <n v="0.15"/>
    <m/>
    <n v="-44105"/>
    <m/>
    <n v="0.15"/>
    <n v="1"/>
    <n v="0"/>
    <n v="0"/>
    <m/>
    <x v="7"/>
  </r>
  <r>
    <n v="38"/>
    <s v="Implementación RAN"/>
    <s v="SNC-038"/>
    <x v="4"/>
    <s v="0134420_CP_Huariaca"/>
    <s v="Paulo Vidal"/>
    <x v="1"/>
    <d v="2020-10-02T00:00:00"/>
    <s v="Team Leader se encontró trabajando en torre."/>
    <s v="SST"/>
    <s v="Penalidad SST"/>
    <s v="SNC_PROV_SST_05"/>
    <s v="El incumplimiento de las obligaciones establecidas en las disposiciones relacionadas con la SST, en materia de coordinación entre empresas que desarrollen actividades en un mismo centro de trabajo, cuando se trate de actividades calificadas de alto riesgo."/>
    <s v="Grave"/>
    <s v="NC, penalidad, reasignación, veto"/>
    <s v="Coordinador del proyecto "/>
    <n v="0.15"/>
    <m/>
    <n v="-44106"/>
    <m/>
    <n v="0.15"/>
    <n v="1"/>
    <n v="0"/>
    <n v="0"/>
    <m/>
    <x v="7"/>
  </r>
  <r>
    <n v="39"/>
    <s v="Implementación RAN"/>
    <s v="SNC-039"/>
    <x v="2"/>
    <s v="0130843_IC_Caleta_San_Andres"/>
    <s v="Paulo Vidal"/>
    <x v="0"/>
    <d v="2020-10-07T00:00:00"/>
    <s v="Los documentos SST (formatos check list para herramientas y registro de entrega de EPPs) tienen errores,  fecha pasada y formato incorrecto."/>
    <s v="Rev. Entregables y QA"/>
    <s v=""/>
    <s v="SNC_PROV_51"/>
    <s v="No hacer seguimiento a las contratas que tienen observaciones en la documentación presentada."/>
    <s v="Incumplimiento Mayor"/>
    <s v="NC, penalidad, reasignación, veto"/>
    <s v="Coordinador responsable del servicio"/>
    <s v="3% del monto facturado por el servicio brindado en el mes (monto de Orden de Compra) en que se cometió el incumplimiento."/>
    <m/>
    <n v="-44111"/>
    <m/>
    <n v="0.03"/>
    <m/>
    <m/>
    <m/>
    <m/>
    <x v="7"/>
  </r>
  <r>
    <n v="40"/>
    <s v="Implementación RAN"/>
    <s v="SNC-040"/>
    <x v="2"/>
    <s v="0130385_LM_Barranca"/>
    <s v="Rodolfo Barreto"/>
    <x v="8"/>
    <d v="2020-09-13T00:00:00"/>
    <s v="Accidente de trabajo. Caida de personal de Torre"/>
    <s v="SST"/>
    <s v="Penalidad SST"/>
    <s v="SNC_PROV_SST_04"/>
    <s v="No adoptar las medidas preventivas aplicables a las condiciones de trabajo de los que se derive un riesgo grave e inminente para la seguridad de los trabajadores."/>
    <s v="Grave"/>
    <s v="NC, penalidad, reasignación, veto"/>
    <s v="Coordinador del proyecto "/>
    <n v="0.15"/>
    <m/>
    <n v="-44087"/>
    <m/>
    <n v="0.15"/>
    <m/>
    <m/>
    <m/>
    <m/>
    <x v="6"/>
  </r>
  <r>
    <n v="41"/>
    <s v="Implementación RAN"/>
    <s v="SNC-041"/>
    <x v="2"/>
    <s v="0130385_LM_Barranca"/>
    <s v="Rodolfo Barreto"/>
    <x v="8"/>
    <d v="2020-09-13T00:00:00"/>
    <s v="Accidente de trabajo. Caida de personal de Torre"/>
    <s v="SST"/>
    <s v="Penalidad SST"/>
    <s v="SNC_PROV_SST_16"/>
    <s v="El incumplimiento de las obligaciones de implementar y mantener actualizados los registros o disponer de la documentación que exigen las disposiciones legales vigentes relacionadas con la SST y aquellas que ENTEL disponga."/>
    <s v="Moderada"/>
    <s v="NC, penalidad, reasignación, veto"/>
    <s v="Coordinador del proyecto "/>
    <n v="0.1"/>
    <m/>
    <n v="-44087"/>
    <m/>
    <n v="0.1"/>
    <m/>
    <m/>
    <m/>
    <m/>
    <x v="6"/>
  </r>
  <r>
    <n v="42"/>
    <s v="Implementación RAN"/>
    <s v="SNC-042"/>
    <x v="2"/>
    <s v="0131029_LA_Santa_Rosa_Lamb"/>
    <s v="Paulo Vidal"/>
    <x v="0"/>
    <d v="2020-10-16T00:00:00"/>
    <s v="No se encontró Extintor"/>
    <s v="SST"/>
    <s v="Penalidad SST"/>
    <s v="SNC_PROV_SST_04"/>
    <s v="No adoptar las medidas preventivas aplicables a las condiciones de trabajo de los que se derive un riesgo grave e inminente para la seguridad de los trabajadores."/>
    <s v="Grave"/>
    <s v="NC, penalidad, reasignación, veto"/>
    <s v="Coordinador del proyecto "/>
    <n v="0.15"/>
    <m/>
    <n v="-44120"/>
    <m/>
    <m/>
    <m/>
    <m/>
    <m/>
    <m/>
    <x v="7"/>
  </r>
  <r>
    <n v="43"/>
    <s v="Implementación RAN"/>
    <s v="SNC-043"/>
    <x v="2"/>
    <s v="0133940_PN_Vitupata_R1"/>
    <s v="Paulo Vidal"/>
    <x v="5"/>
    <d v="2020-10-16T00:00:00"/>
    <s v="Team leader se encontró trabajando en torre y al bajar dejo la linea de vida olvidada._x000a_Adicionalmente, no contaban con extintor."/>
    <s v="SST"/>
    <s v="Penalidad SST"/>
    <s v="SNC_PROV_SST_10"/>
    <s v="No contar con un Ingeniero de SST durante la ejecución del servicio"/>
    <s v="Grave"/>
    <s v="NC, penalidad, reasignación, veto"/>
    <s v="Coordinador del proyecto "/>
    <n v="0.15"/>
    <m/>
    <n v="-44120"/>
    <m/>
    <m/>
    <m/>
    <m/>
    <m/>
    <m/>
    <x v="7"/>
  </r>
  <r>
    <n v="44"/>
    <s v="Implementación RAN"/>
    <s v="SNC-044"/>
    <x v="2"/>
    <s v="0130843_IC_Caleta_San_Andres"/>
    <s v="Paulo Vidal"/>
    <x v="0"/>
    <d v="2020-10-16T00:00:00"/>
    <s v=" Team Leader se encontró trabajando en torre._x000a_El tecnico evidenció que no tiene claro los procedimientos ante un caso de emergencia."/>
    <s v="SST"/>
    <s v="Penalidad SST"/>
    <s v="SNC_PROV_SST_10"/>
    <s v="No contar con un Ingeniero de SST durante la ejecución del servicio"/>
    <s v="Grave"/>
    <s v="NC, penalidad, reasignación, veto"/>
    <s v="Coordinador del proyecto "/>
    <n v="0.15"/>
    <m/>
    <n v="-44120"/>
    <m/>
    <m/>
    <m/>
    <m/>
    <m/>
    <m/>
    <x v="7"/>
  </r>
  <r>
    <n v="45"/>
    <s v="Implementación RAN"/>
    <s v="SNC-045"/>
    <x v="7"/>
    <s v="0130056_LM_Santa_Beatriz"/>
    <s v="Paulo Vidal"/>
    <x v="3"/>
    <d v="2020-10-16T00:00:00"/>
    <s v="No contaban con extintor ni botiquin"/>
    <s v="SST"/>
    <s v="Penalidad SST"/>
    <s v="SNC_PROV_SST_04"/>
    <s v="No adoptar las medidas preventivas aplicables a las condiciones de trabajo de los que se derive un riesgo grave e inminente para la seguridad de los trabajadores."/>
    <s v="Grave"/>
    <s v="NC, penalidad, reasignación, veto"/>
    <s v="Coordinador del proyecto "/>
    <n v="0.15"/>
    <m/>
    <n v="-44120"/>
    <m/>
    <m/>
    <m/>
    <m/>
    <m/>
    <m/>
    <x v="7"/>
  </r>
  <r>
    <n v="46"/>
    <s v="Implementación RAN"/>
    <s v="SNC-046"/>
    <x v="2"/>
    <s v="0130386_LM_Huaura"/>
    <s v="Paulo Vidal"/>
    <x v="3"/>
    <d v="2020-10-16T00:00:00"/>
    <s v="No contaban con extintor en sitio."/>
    <s v="SST"/>
    <s v="Penalidad SST"/>
    <s v="SNC_PROV_SST_04"/>
    <s v="No adoptar las medidas preventivas aplicables a las condiciones de trabajo de los que se derive un riesgo grave e inminente para la seguridad de los trabajadores."/>
    <s v="Grave"/>
    <s v="NC, penalidad, reasignación, veto"/>
    <s v="Coordinador del proyecto "/>
    <n v="0.15"/>
    <m/>
    <n v="-44120"/>
    <m/>
    <m/>
    <m/>
    <m/>
    <m/>
    <m/>
    <x v="7"/>
  </r>
  <r>
    <n v="47"/>
    <s v="Implementación RAN"/>
    <s v="SNC-047"/>
    <x v="2"/>
    <s v="0130824_IC_Pisco_Centro"/>
    <s v="Paulo Vidal"/>
    <x v="7"/>
    <d v="2020-10-16T00:00:00"/>
    <s v="No contaban con extintor ni botiquin"/>
    <s v="SST"/>
    <s v="Penalidad SST"/>
    <s v="SNC_PROV_SST_04"/>
    <s v="No adoptar las medidas preventivas aplicables a las condiciones de trabajo de los que se derive un riesgo grave e inminente para la seguridad de los trabajadores."/>
    <s v="Grave"/>
    <s v="NC, penalidad, reasignación, veto"/>
    <s v="Coordinador del proyecto "/>
    <n v="0.15"/>
    <m/>
    <n v="-44120"/>
    <m/>
    <m/>
    <m/>
    <m/>
    <m/>
    <m/>
    <x v="7"/>
  </r>
  <r>
    <n v="48"/>
    <s v="Implementación RAN"/>
    <s v="SNC-048"/>
    <x v="2"/>
    <s v="PI_Paredes_Maceda-S3"/>
    <s v="Rodolfo Barreto"/>
    <x v="0"/>
    <d v="2020-09-04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04T00:00:00"/>
    <n v="0"/>
    <n v="5985.26"/>
    <n v="5.0000000000000001E-4"/>
    <n v="115"/>
    <n v="344.15245000000004"/>
    <n v="5641.1075500000006"/>
    <s v="Cerrado"/>
    <x v="6"/>
  </r>
  <r>
    <n v="49"/>
    <s v="Implementación RAN"/>
    <s v="SNC-049"/>
    <x v="2"/>
    <s v="AQ_Alto_Cayma-S1"/>
    <s v="Rodolfo Barreto"/>
    <x v="9"/>
    <d v="2020-09-11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11T00:00:00"/>
    <n v="0"/>
    <n v="7059.5"/>
    <n v="5.0000000000000001E-4"/>
    <n v="115"/>
    <n v="405.92125000000004"/>
    <n v="6653.5787499999997"/>
    <s v="Cerrado"/>
    <x v="6"/>
  </r>
  <r>
    <n v="50"/>
    <s v="Implementación RAN"/>
    <s v="SNC-050"/>
    <x v="2"/>
    <s v="PI_Catacaos-S3"/>
    <s v="Rodolfo Barreto"/>
    <x v="7"/>
    <d v="2020-09-10T00:00:00"/>
    <s v="Afectacion de Servicio no programada, sin MOP de afectacion para el trabajo a realizar."/>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10T00:00:00"/>
    <n v="0"/>
    <n v="5739.26"/>
    <n v="5.0000000000000001E-4"/>
    <n v="115"/>
    <n v="330.00745000000001"/>
    <n v="5409.2525500000002"/>
    <s v="Cerrado"/>
    <x v="6"/>
  </r>
  <r>
    <n v="51"/>
    <s v="Implementación RAN"/>
    <s v="SNC-051"/>
    <x v="2"/>
    <s v="134528_LM_Vilcahuaura-S2"/>
    <s v="Rodolfo Barreto"/>
    <x v="10"/>
    <d v="2020-09-14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14T00:00:00"/>
    <n v="0"/>
    <n v="5739.26"/>
    <n v="5.0000000000000001E-4"/>
    <n v="115"/>
    <n v="330.00745000000001"/>
    <n v="5409.2525500000002"/>
    <s v="Cerrado"/>
    <x v="6"/>
  </r>
  <r>
    <n v="52"/>
    <s v="Implementación RAN"/>
    <s v="SNC-052"/>
    <x v="2"/>
    <s v="PI_Chulucanas-S1"/>
    <s v="Rodolfo Barreto"/>
    <x v="11"/>
    <d v="2020-09-27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27T00:00:00"/>
    <n v="0"/>
    <n v="5719.46"/>
    <n v="5.0000000000000001E-4"/>
    <n v="115"/>
    <n v="328.86895000000004"/>
    <n v="5390.59105"/>
    <s v="Cerrado"/>
    <x v="6"/>
  </r>
  <r>
    <n v="53"/>
    <s v="Implementación RAN"/>
    <s v="SNC-053"/>
    <x v="2"/>
    <s v="0131736_PI_Cerezal"/>
    <s v="Rodolfo Barreto"/>
    <x v="6"/>
    <d v="2020-10-10T00:00:00"/>
    <s v="Afectacion de Servicio no programada."/>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10-10T00:00:00"/>
    <n v="0"/>
    <n v="5739.26"/>
    <n v="5.0000000000000001E-4"/>
    <n v="0"/>
    <n v="0"/>
    <n v="5739.26"/>
    <s v="Cerrado"/>
    <x v="7"/>
  </r>
  <r>
    <n v="54"/>
    <s v="Implementación RAN"/>
    <s v="SNC-054"/>
    <x v="2"/>
    <s v="0130386_LM_Huaura"/>
    <s v="Rodolfo Barreto"/>
    <x v="3"/>
    <d v="2020-10-14T00:00:00"/>
    <s v="Afectacion de Servicio no programada."/>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10-14T00:00:00"/>
    <n v="0"/>
    <n v="5739.26"/>
    <n v="5.0000000000000001E-4"/>
    <n v="42"/>
    <n v="120.52446000000002"/>
    <n v="5618.7355400000006"/>
    <s v="Cerrado"/>
    <x v="7"/>
  </r>
  <r>
    <n v="55"/>
    <s v="Implementación RAN"/>
    <s v="SNC-055"/>
    <x v="2"/>
    <s v="0130382_LM_Medio_Mundo"/>
    <s v="Rodolfo Barreto"/>
    <x v="7"/>
    <d v="2020-10-01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10-01T00:00:00"/>
    <n v="0"/>
    <n v="5739.26"/>
    <n v="5.0000000000000001E-4"/>
    <n v="0"/>
    <n v="0"/>
    <n v="0"/>
    <s v="Cerrado"/>
    <x v="7"/>
  </r>
  <r>
    <n v="56"/>
    <s v="Implementación RAN"/>
    <s v="SNC-056"/>
    <x v="2"/>
    <s v="0130824_IC_Pisco_Centro"/>
    <s v="Rodolfo Barreto"/>
    <x v="7"/>
    <d v="2020-10-15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10-15T00:00:00"/>
    <n v="0"/>
    <n v="5739.26"/>
    <n v="5.0000000000000001E-4"/>
    <n v="34"/>
    <n v="97.567420000000013"/>
    <n v="5641.6925799999999"/>
    <s v="Cerrado"/>
    <x v="7"/>
  </r>
  <r>
    <n v="57"/>
    <s v="Implementación RAN"/>
    <s v="SNC-057"/>
    <x v="2"/>
    <s v="0130529_LM_Diciembre_11"/>
    <s v="Rodolfo Barreto"/>
    <x v="11"/>
    <d v="2020-10-15T00:00:00"/>
    <s v="Afectacion de Servicio no programada."/>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10-15T00:00:00"/>
    <n v="0"/>
    <n v="5739.26"/>
    <n v="5.0000000000000001E-4"/>
    <n v="51"/>
    <n v="146.35113000000001"/>
    <n v="5592.9088700000002"/>
    <s v="Cerrado"/>
    <x v="7"/>
  </r>
  <r>
    <n v="58"/>
    <s v="Implementación RAN"/>
    <s v="SNC-058"/>
    <x v="5"/>
    <s v="0130025_LM_Arequipa_R1"/>
    <s v="Ronald Buendia"/>
    <x v="0"/>
    <d v="2020-10-22T00:00:00"/>
    <s v="Afectación de Servicio fuera del Rango de Afectación."/>
    <s v="Macro"/>
    <s v="Penalidad Macro"/>
    <s v="SNC_PROV_05"/>
    <s v="Afectación comprobada de servicios que no fueron contemplados en la MOP, por errores de procedimientos de implementación de nodo.      ( se consideran afectaciones, los trabajos realizados  fuera de los horarios registrados en la MOP)"/>
    <s v="Muy Grave"/>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m/>
    <n v="-44126"/>
    <m/>
    <m/>
    <m/>
    <m/>
    <m/>
    <m/>
    <x v="7"/>
  </r>
  <r>
    <n v="59"/>
    <s v="Implementación RAN"/>
    <s v="SNC-059"/>
    <x v="2"/>
    <s v="0132758_LM_Villa_Industrial_R1"/>
    <s v="Paulo Vidal"/>
    <x v="0"/>
    <d v="2020-10-15T00:00:00"/>
    <s v="Se evidencia en el reporte sst y sanitario que solo hay 02 personas en sitio a pesar de ser un trabajo de adecuación, adicional a ello falta foto del kit de protección, credenciales y toma de temperatura y declaración jurada solo hay de 01 personal."/>
    <s v="Rev. Entregables y QA"/>
    <s v=""/>
    <s v="SNC_PROV_51"/>
    <s v="No hacer seguimiento a las contratas que tienen observaciones en la documentación presentada."/>
    <s v="Incumplimiento Mayor"/>
    <s v="NC, penalidad, reasignación, veto"/>
    <s v="Coordinador responsable del servicio"/>
    <s v="3% del monto facturado por el servicio brindado en el mes (monto de Orden de Compra) en que se cometió el incumplimiento."/>
    <m/>
    <n v="-44119"/>
    <m/>
    <m/>
    <m/>
    <m/>
    <m/>
    <m/>
    <x v="7"/>
  </r>
  <r>
    <n v="60"/>
    <s v="Implementación RAN"/>
    <s v="SNC-060"/>
    <x v="2"/>
    <s v="0133789_PI_Cow_Fundo_Rapel"/>
    <s v="Paulo Vidal"/>
    <x v="7"/>
    <d v="2020-10-16T00:00:00"/>
    <s v="En el reporte SST y sanitario, el formato SST está incompleto ( falta el formato de inspección de arnés de 01 personal)."/>
    <s v="Rev. Entregables y QA"/>
    <s v=""/>
    <s v="SNC_PROV_51"/>
    <s v="No hacer seguimiento a las contratas que tienen observaciones en la documentación presentada."/>
    <s v="Incumplimiento Mayor"/>
    <s v="NC, penalidad, reasignación, veto"/>
    <s v="Coordinador responsable del servicio"/>
    <s v="3% del monto facturado por el servicio brindado en el mes (monto de Orden de Compra) en que se cometió el incumplimiento."/>
    <m/>
    <n v="-44120"/>
    <m/>
    <m/>
    <m/>
    <m/>
    <m/>
    <m/>
    <x v="7"/>
  </r>
  <r>
    <n v="61"/>
    <s v="Implementación RAN"/>
    <s v="SNC-061"/>
    <x v="2"/>
    <s v="0133288_PI_Cow_Rapel"/>
    <s v="Paulo Vidal"/>
    <x v="7"/>
    <d v="2020-10-16T00:00:00"/>
    <s v="En el reporte SST y sanitario, los formatos SST están incompletos (falta formato de registro de entrega de EPP y el formato de inspección de arnés de 01 persona)"/>
    <s v="Rev. Entregables y QA"/>
    <s v=""/>
    <s v="SNC_PROV_51"/>
    <s v="No hacer seguimiento a las contratas que tienen observaciones en la documentación presentada."/>
    <s v="Incumplimiento Mayor"/>
    <s v="NC, penalidad, reasignación, veto"/>
    <s v="Coordinador responsable del servicio"/>
    <s v="3% del monto facturado por el servicio brindado en el mes (monto de Orden de Compra) en que se cometió el incumplimiento."/>
    <m/>
    <n v="-44120"/>
    <m/>
    <m/>
    <m/>
    <m/>
    <m/>
    <m/>
    <x v="7"/>
  </r>
  <r>
    <n v="62"/>
    <s v="Implementación RAN"/>
    <s v="SNC-062"/>
    <x v="1"/>
    <s v="010351071_UY_Noe_Fachin"/>
    <s v="Paulo Vidal"/>
    <x v="2"/>
    <d v="2020-10-13T00:00:00"/>
    <s v="En el reporte sst y sanitario no indicaron quien es prevencionista, foto de la desinfección de las herramientas es incorrecta y falta la declaración jurada de 01 personal de campo."/>
    <s v="Rev. Entregables y QA"/>
    <s v=""/>
    <s v="SNC_PROV_51"/>
    <s v="No hacer seguimiento a las contratas que tienen observaciones en la documentación presentada."/>
    <s v="Incumplimiento Mayor"/>
    <s v="NC, penalidad, reasignación, veto"/>
    <s v="Coordinador responsable del servicio"/>
    <s v="3% del monto facturado por el servicio brindado en el mes (monto de Orden de Compra) en que se cometió el incumplimiento."/>
    <m/>
    <n v="-44117"/>
    <m/>
    <m/>
    <m/>
    <m/>
    <m/>
    <m/>
    <x v="7"/>
  </r>
  <r>
    <n v="63"/>
    <s v="Implementación RAN"/>
    <s v="SNC-063"/>
    <x v="2"/>
    <s v="0134435_CP_Paragsha"/>
    <s v="Paulo Vidal"/>
    <x v="2"/>
    <d v="2020-10-15T00:00:00"/>
    <s v="Falta un documento SST en el reporte SST y sanitario (no figura la charla de 5 minutos)."/>
    <s v="Rev. Entregables y QA"/>
    <s v=""/>
    <s v="SNC_PROV_51"/>
    <s v="No hacer seguimiento a las contratas que tienen observaciones en la documentación presentada."/>
    <s v="Incumplimiento Mayor"/>
    <s v="NC, penalidad, reasignación, veto"/>
    <s v="Coordinador responsable del servicio"/>
    <s v="3% del monto facturado por el servicio brindado en el mes (monto de Orden de Compra) en que se cometió el incumplimiento."/>
    <m/>
    <n v="-44119"/>
    <m/>
    <m/>
    <m/>
    <m/>
    <m/>
    <m/>
    <x v="7"/>
  </r>
  <r>
    <n v="64"/>
    <s v="Implementación RAN"/>
    <s v="SNC-064"/>
    <x v="8"/>
    <m/>
    <m/>
    <x v="12"/>
    <m/>
    <m/>
    <m/>
    <s v=""/>
    <m/>
    <s v=""/>
    <s v=""/>
    <s v=""/>
    <s v=""/>
    <s v=""/>
    <m/>
    <n v="0"/>
    <m/>
    <m/>
    <m/>
    <m/>
    <m/>
    <m/>
    <x v="8"/>
  </r>
  <r>
    <n v="65"/>
    <s v="Implementación RAN"/>
    <s v="SNC-065"/>
    <x v="8"/>
    <m/>
    <m/>
    <x v="12"/>
    <m/>
    <m/>
    <m/>
    <s v=""/>
    <m/>
    <s v=""/>
    <s v=""/>
    <s v=""/>
    <s v=""/>
    <s v=""/>
    <m/>
    <n v="0"/>
    <m/>
    <m/>
    <m/>
    <m/>
    <m/>
    <m/>
    <x v="8"/>
  </r>
  <r>
    <n v="66"/>
    <s v="Implementación RAN"/>
    <s v="SNC-066"/>
    <x v="8"/>
    <m/>
    <m/>
    <x v="12"/>
    <m/>
    <m/>
    <m/>
    <s v=""/>
    <m/>
    <s v=""/>
    <s v=""/>
    <s v=""/>
    <s v=""/>
    <s v=""/>
    <m/>
    <n v="0"/>
    <m/>
    <m/>
    <m/>
    <m/>
    <m/>
    <m/>
    <x v="8"/>
  </r>
  <r>
    <n v="67"/>
    <s v="Implementación RAN"/>
    <s v="SNC-067"/>
    <x v="8"/>
    <m/>
    <m/>
    <x v="12"/>
    <m/>
    <m/>
    <m/>
    <s v=""/>
    <m/>
    <s v=""/>
    <s v=""/>
    <s v=""/>
    <s v=""/>
    <s v=""/>
    <m/>
    <n v="0"/>
    <m/>
    <m/>
    <m/>
    <m/>
    <m/>
    <m/>
    <x v="8"/>
  </r>
  <r>
    <n v="68"/>
    <s v="Implementación RAN"/>
    <s v="SNC-068"/>
    <x v="8"/>
    <m/>
    <m/>
    <x v="12"/>
    <m/>
    <m/>
    <m/>
    <s v=""/>
    <m/>
    <s v=""/>
    <s v=""/>
    <s v=""/>
    <s v=""/>
    <s v=""/>
    <m/>
    <n v="0"/>
    <m/>
    <m/>
    <m/>
    <m/>
    <m/>
    <m/>
    <x v="8"/>
  </r>
  <r>
    <n v="69"/>
    <s v="Implementación RAN"/>
    <s v="SNC-069"/>
    <x v="8"/>
    <m/>
    <m/>
    <x v="12"/>
    <m/>
    <m/>
    <m/>
    <s v=""/>
    <m/>
    <s v=""/>
    <s v=""/>
    <s v=""/>
    <s v=""/>
    <s v=""/>
    <m/>
    <n v="0"/>
    <m/>
    <m/>
    <m/>
    <m/>
    <m/>
    <m/>
    <x v="8"/>
  </r>
  <r>
    <n v="70"/>
    <s v="Implementación RAN"/>
    <s v="SNC-070"/>
    <x v="8"/>
    <m/>
    <m/>
    <x v="12"/>
    <m/>
    <m/>
    <m/>
    <s v=""/>
    <m/>
    <s v=""/>
    <s v=""/>
    <s v=""/>
    <s v=""/>
    <s v=""/>
    <m/>
    <n v="0"/>
    <m/>
    <m/>
    <m/>
    <m/>
    <m/>
    <m/>
    <x v="8"/>
  </r>
  <r>
    <n v="71"/>
    <s v="Implementación RAN"/>
    <s v="SNC-071"/>
    <x v="8"/>
    <m/>
    <m/>
    <x v="12"/>
    <m/>
    <m/>
    <m/>
    <s v=""/>
    <m/>
    <s v=""/>
    <s v=""/>
    <s v=""/>
    <s v=""/>
    <s v=""/>
    <m/>
    <n v="0"/>
    <m/>
    <m/>
    <m/>
    <m/>
    <m/>
    <m/>
    <x v="8"/>
  </r>
  <r>
    <n v="72"/>
    <s v="Implementación RAN"/>
    <s v="SNC-072"/>
    <x v="8"/>
    <m/>
    <m/>
    <x v="12"/>
    <m/>
    <m/>
    <m/>
    <s v=""/>
    <m/>
    <s v=""/>
    <s v=""/>
    <s v=""/>
    <s v=""/>
    <s v=""/>
    <m/>
    <n v="0"/>
    <m/>
    <m/>
    <m/>
    <m/>
    <m/>
    <m/>
    <x v="8"/>
  </r>
  <r>
    <n v="73"/>
    <s v="Implementación RAN"/>
    <s v="SNC-073"/>
    <x v="8"/>
    <m/>
    <m/>
    <x v="12"/>
    <m/>
    <m/>
    <m/>
    <s v=""/>
    <m/>
    <s v=""/>
    <s v=""/>
    <s v=""/>
    <s v=""/>
    <s v=""/>
    <m/>
    <n v="0"/>
    <m/>
    <m/>
    <m/>
    <m/>
    <m/>
    <m/>
    <x v="8"/>
  </r>
  <r>
    <n v="74"/>
    <s v="Implementación RAN"/>
    <s v="SNC-074"/>
    <x v="8"/>
    <m/>
    <m/>
    <x v="12"/>
    <m/>
    <m/>
    <m/>
    <s v=""/>
    <m/>
    <s v=""/>
    <s v=""/>
    <s v=""/>
    <s v=""/>
    <s v=""/>
    <m/>
    <n v="0"/>
    <m/>
    <m/>
    <m/>
    <m/>
    <m/>
    <m/>
    <x v="8"/>
  </r>
  <r>
    <n v="75"/>
    <s v="Implementación RAN"/>
    <s v="SNC-075"/>
    <x v="8"/>
    <m/>
    <m/>
    <x v="12"/>
    <m/>
    <m/>
    <m/>
    <s v=""/>
    <m/>
    <s v=""/>
    <s v=""/>
    <s v=""/>
    <s v=""/>
    <s v=""/>
    <m/>
    <n v="0"/>
    <m/>
    <m/>
    <m/>
    <m/>
    <m/>
    <m/>
    <x v="8"/>
  </r>
  <r>
    <n v="76"/>
    <s v="Implementación RAN"/>
    <s v="SNC-076"/>
    <x v="8"/>
    <m/>
    <m/>
    <x v="12"/>
    <m/>
    <m/>
    <m/>
    <s v=""/>
    <m/>
    <s v=""/>
    <s v=""/>
    <s v=""/>
    <s v=""/>
    <s v=""/>
    <m/>
    <n v="0"/>
    <m/>
    <m/>
    <m/>
    <m/>
    <m/>
    <m/>
    <x v="8"/>
  </r>
  <r>
    <n v="77"/>
    <s v="Implementación RAN"/>
    <s v="SNC-077"/>
    <x v="8"/>
    <m/>
    <m/>
    <x v="12"/>
    <m/>
    <m/>
    <m/>
    <s v=""/>
    <m/>
    <s v=""/>
    <s v=""/>
    <s v=""/>
    <s v=""/>
    <s v=""/>
    <m/>
    <n v="0"/>
    <m/>
    <m/>
    <m/>
    <m/>
    <m/>
    <m/>
    <x v="8"/>
  </r>
  <r>
    <n v="78"/>
    <s v="Implementación RAN"/>
    <s v="SNC-078"/>
    <x v="8"/>
    <m/>
    <m/>
    <x v="12"/>
    <m/>
    <m/>
    <m/>
    <s v=""/>
    <m/>
    <s v=""/>
    <s v=""/>
    <s v=""/>
    <s v=""/>
    <s v=""/>
    <m/>
    <n v="0"/>
    <m/>
    <m/>
    <m/>
    <m/>
    <m/>
    <m/>
    <x v="8"/>
  </r>
  <r>
    <n v="79"/>
    <s v="Implementación RAN"/>
    <s v="SNC-079"/>
    <x v="8"/>
    <m/>
    <m/>
    <x v="12"/>
    <m/>
    <m/>
    <m/>
    <s v=""/>
    <m/>
    <s v=""/>
    <s v=""/>
    <s v=""/>
    <s v=""/>
    <s v=""/>
    <m/>
    <n v="0"/>
    <m/>
    <m/>
    <m/>
    <m/>
    <m/>
    <m/>
    <x v="8"/>
  </r>
  <r>
    <n v="80"/>
    <s v="Implementación RAN"/>
    <s v="SNC-080"/>
    <x v="8"/>
    <m/>
    <m/>
    <x v="12"/>
    <m/>
    <m/>
    <m/>
    <s v=""/>
    <m/>
    <s v=""/>
    <s v=""/>
    <s v=""/>
    <s v=""/>
    <s v=""/>
    <m/>
    <n v="0"/>
    <m/>
    <m/>
    <m/>
    <m/>
    <m/>
    <m/>
    <x v="8"/>
  </r>
  <r>
    <n v="81"/>
    <s v="Implementación RAN"/>
    <s v="SNC-081"/>
    <x v="8"/>
    <m/>
    <m/>
    <x v="12"/>
    <m/>
    <m/>
    <m/>
    <s v=""/>
    <m/>
    <s v=""/>
    <s v=""/>
    <s v=""/>
    <s v=""/>
    <s v=""/>
    <m/>
    <n v="0"/>
    <m/>
    <m/>
    <m/>
    <m/>
    <m/>
    <m/>
    <x v="8"/>
  </r>
  <r>
    <n v="82"/>
    <s v="Implementación RAN"/>
    <s v="SNC-082"/>
    <x v="8"/>
    <m/>
    <m/>
    <x v="12"/>
    <m/>
    <m/>
    <m/>
    <s v=""/>
    <m/>
    <s v=""/>
    <s v=""/>
    <s v=""/>
    <s v=""/>
    <s v=""/>
    <m/>
    <n v="0"/>
    <m/>
    <m/>
    <m/>
    <m/>
    <m/>
    <m/>
    <x v="8"/>
  </r>
  <r>
    <n v="83"/>
    <s v="Implementación RAN"/>
    <s v="SNC-083"/>
    <x v="8"/>
    <m/>
    <m/>
    <x v="12"/>
    <m/>
    <m/>
    <m/>
    <s v=""/>
    <m/>
    <s v=""/>
    <s v=""/>
    <s v=""/>
    <s v=""/>
    <s v=""/>
    <m/>
    <n v="0"/>
    <m/>
    <m/>
    <m/>
    <m/>
    <m/>
    <m/>
    <x v="8"/>
  </r>
  <r>
    <n v="84"/>
    <s v="Implementación RAN"/>
    <s v="SNC-084"/>
    <x v="8"/>
    <m/>
    <m/>
    <x v="12"/>
    <m/>
    <m/>
    <m/>
    <s v=""/>
    <m/>
    <s v=""/>
    <s v=""/>
    <s v=""/>
    <s v=""/>
    <s v=""/>
    <m/>
    <n v="0"/>
    <m/>
    <m/>
    <m/>
    <m/>
    <m/>
    <m/>
    <x v="8"/>
  </r>
  <r>
    <n v="85"/>
    <s v="Implementación RAN"/>
    <s v="SNC-085"/>
    <x v="8"/>
    <m/>
    <m/>
    <x v="12"/>
    <m/>
    <m/>
    <m/>
    <s v=""/>
    <m/>
    <s v=""/>
    <s v=""/>
    <s v=""/>
    <s v=""/>
    <s v=""/>
    <m/>
    <n v="0"/>
    <m/>
    <m/>
    <m/>
    <m/>
    <m/>
    <m/>
    <x v="8"/>
  </r>
  <r>
    <n v="86"/>
    <s v="Implementación RAN"/>
    <s v="SNC-086"/>
    <x v="8"/>
    <m/>
    <m/>
    <x v="12"/>
    <m/>
    <m/>
    <m/>
    <s v=""/>
    <m/>
    <s v=""/>
    <s v=""/>
    <s v=""/>
    <s v=""/>
    <s v=""/>
    <m/>
    <n v="0"/>
    <m/>
    <m/>
    <m/>
    <m/>
    <m/>
    <m/>
    <x v="8"/>
  </r>
  <r>
    <n v="87"/>
    <s v="Implementación RAN"/>
    <s v="SNC-087"/>
    <x v="8"/>
    <m/>
    <m/>
    <x v="12"/>
    <m/>
    <m/>
    <m/>
    <s v=""/>
    <m/>
    <s v=""/>
    <s v=""/>
    <s v=""/>
    <s v=""/>
    <s v=""/>
    <m/>
    <n v="0"/>
    <m/>
    <m/>
    <m/>
    <m/>
    <m/>
    <m/>
    <x v="8"/>
  </r>
  <r>
    <n v="88"/>
    <s v="Implementación RAN"/>
    <s v="SNC-088"/>
    <x v="8"/>
    <m/>
    <m/>
    <x v="12"/>
    <m/>
    <m/>
    <m/>
    <s v=""/>
    <m/>
    <s v=""/>
    <s v=""/>
    <s v=""/>
    <s v=""/>
    <s v=""/>
    <m/>
    <n v="0"/>
    <m/>
    <m/>
    <m/>
    <m/>
    <m/>
    <m/>
    <x v="8"/>
  </r>
  <r>
    <n v="89"/>
    <s v="Implementación RAN"/>
    <s v="SNC-089"/>
    <x v="8"/>
    <m/>
    <m/>
    <x v="12"/>
    <m/>
    <m/>
    <m/>
    <s v=""/>
    <m/>
    <s v=""/>
    <s v=""/>
    <s v=""/>
    <s v=""/>
    <s v=""/>
    <m/>
    <n v="0"/>
    <m/>
    <m/>
    <m/>
    <m/>
    <m/>
    <m/>
    <x v="8"/>
  </r>
  <r>
    <n v="90"/>
    <s v="Implementación RAN"/>
    <s v="SNC-090"/>
    <x v="8"/>
    <m/>
    <m/>
    <x v="12"/>
    <m/>
    <m/>
    <m/>
    <s v=""/>
    <m/>
    <s v=""/>
    <s v=""/>
    <s v=""/>
    <s v=""/>
    <s v=""/>
    <m/>
    <n v="0"/>
    <m/>
    <m/>
    <m/>
    <m/>
    <m/>
    <m/>
    <x v="8"/>
  </r>
  <r>
    <n v="91"/>
    <s v="Implementación RAN"/>
    <s v="SNC-091"/>
    <x v="8"/>
    <m/>
    <m/>
    <x v="12"/>
    <m/>
    <m/>
    <m/>
    <s v=""/>
    <m/>
    <s v=""/>
    <s v=""/>
    <s v=""/>
    <s v=""/>
    <s v=""/>
    <m/>
    <n v="0"/>
    <m/>
    <m/>
    <m/>
    <m/>
    <m/>
    <m/>
    <x v="8"/>
  </r>
  <r>
    <n v="92"/>
    <s v="Implementación RAN"/>
    <s v="SNC-092"/>
    <x v="8"/>
    <m/>
    <m/>
    <x v="12"/>
    <m/>
    <m/>
    <m/>
    <s v=""/>
    <m/>
    <s v=""/>
    <s v=""/>
    <s v=""/>
    <s v=""/>
    <s v=""/>
    <m/>
    <n v="0"/>
    <m/>
    <m/>
    <m/>
    <m/>
    <m/>
    <m/>
    <x v="8"/>
  </r>
  <r>
    <n v="93"/>
    <s v="Implementación RAN"/>
    <s v="SNC-093"/>
    <x v="8"/>
    <m/>
    <m/>
    <x v="12"/>
    <m/>
    <m/>
    <m/>
    <s v=""/>
    <m/>
    <s v=""/>
    <s v=""/>
    <s v=""/>
    <s v=""/>
    <s v=""/>
    <m/>
    <n v="0"/>
    <m/>
    <m/>
    <m/>
    <m/>
    <m/>
    <m/>
    <x v="8"/>
  </r>
  <r>
    <n v="94"/>
    <s v="Implementación RAN"/>
    <s v="SNC-094"/>
    <x v="8"/>
    <m/>
    <m/>
    <x v="12"/>
    <m/>
    <m/>
    <m/>
    <s v=""/>
    <m/>
    <s v=""/>
    <s v=""/>
    <s v=""/>
    <s v=""/>
    <s v=""/>
    <m/>
    <n v="0"/>
    <m/>
    <m/>
    <m/>
    <m/>
    <m/>
    <m/>
    <x v="8"/>
  </r>
  <r>
    <n v="95"/>
    <s v="Implementación RAN"/>
    <s v="SNC-095"/>
    <x v="8"/>
    <m/>
    <m/>
    <x v="12"/>
    <m/>
    <m/>
    <m/>
    <s v=""/>
    <m/>
    <s v=""/>
    <s v=""/>
    <s v=""/>
    <s v=""/>
    <s v=""/>
    <m/>
    <n v="0"/>
    <m/>
    <m/>
    <m/>
    <m/>
    <m/>
    <m/>
    <x v="8"/>
  </r>
  <r>
    <n v="96"/>
    <s v="Implementación RAN"/>
    <s v="SNC-096"/>
    <x v="8"/>
    <m/>
    <m/>
    <x v="12"/>
    <m/>
    <m/>
    <m/>
    <s v=""/>
    <m/>
    <s v=""/>
    <s v=""/>
    <s v=""/>
    <s v=""/>
    <s v=""/>
    <m/>
    <n v="0"/>
    <m/>
    <m/>
    <m/>
    <m/>
    <m/>
    <m/>
    <x v="8"/>
  </r>
  <r>
    <n v="97"/>
    <s v="Implementación RAN"/>
    <s v="SNC-097"/>
    <x v="8"/>
    <m/>
    <m/>
    <x v="12"/>
    <m/>
    <m/>
    <m/>
    <s v=""/>
    <m/>
    <s v=""/>
    <s v=""/>
    <s v=""/>
    <s v=""/>
    <s v=""/>
    <m/>
    <n v="0"/>
    <m/>
    <m/>
    <m/>
    <m/>
    <m/>
    <m/>
    <x v="8"/>
  </r>
  <r>
    <n v="98"/>
    <s v="Implementación RAN"/>
    <s v="SNC-098"/>
    <x v="8"/>
    <m/>
    <m/>
    <x v="12"/>
    <m/>
    <m/>
    <m/>
    <s v=""/>
    <m/>
    <s v=""/>
    <s v=""/>
    <s v=""/>
    <s v=""/>
    <s v=""/>
    <m/>
    <n v="0"/>
    <m/>
    <m/>
    <m/>
    <m/>
    <m/>
    <m/>
    <x v="8"/>
  </r>
  <r>
    <n v="99"/>
    <s v="Implementación RAN"/>
    <s v="SNC-099"/>
    <x v="8"/>
    <m/>
    <m/>
    <x v="12"/>
    <m/>
    <m/>
    <m/>
    <s v=""/>
    <m/>
    <s v=""/>
    <s v=""/>
    <s v=""/>
    <s v=""/>
    <s v=""/>
    <m/>
    <n v="0"/>
    <m/>
    <m/>
    <m/>
    <m/>
    <m/>
    <m/>
    <x v="8"/>
  </r>
  <r>
    <n v="100"/>
    <s v="Implementación RAN"/>
    <s v="SNC-100"/>
    <x v="8"/>
    <m/>
    <m/>
    <x v="12"/>
    <m/>
    <m/>
    <m/>
    <s v=""/>
    <m/>
    <s v=""/>
    <s v=""/>
    <s v=""/>
    <s v=""/>
    <s v=""/>
    <m/>
    <n v="0"/>
    <m/>
    <m/>
    <m/>
    <m/>
    <m/>
    <m/>
    <x v="8"/>
  </r>
  <r>
    <n v="101"/>
    <s v="Implementación RAN"/>
    <s v="SNC-101"/>
    <x v="8"/>
    <m/>
    <m/>
    <x v="12"/>
    <m/>
    <m/>
    <m/>
    <s v=""/>
    <m/>
    <s v=""/>
    <s v=""/>
    <s v=""/>
    <s v=""/>
    <s v=""/>
    <m/>
    <n v="0"/>
    <m/>
    <m/>
    <m/>
    <m/>
    <m/>
    <m/>
    <x v="8"/>
  </r>
  <r>
    <n v="102"/>
    <s v="Implementación RAN"/>
    <s v="SNC-102"/>
    <x v="8"/>
    <m/>
    <m/>
    <x v="12"/>
    <m/>
    <m/>
    <m/>
    <s v=""/>
    <m/>
    <s v=""/>
    <s v=""/>
    <s v=""/>
    <s v=""/>
    <s v=""/>
    <m/>
    <n v="0"/>
    <m/>
    <m/>
    <m/>
    <m/>
    <m/>
    <m/>
    <x v="8"/>
  </r>
  <r>
    <n v="103"/>
    <s v="Implementación RAN"/>
    <s v="SNC-103"/>
    <x v="8"/>
    <m/>
    <m/>
    <x v="12"/>
    <m/>
    <m/>
    <m/>
    <s v=""/>
    <m/>
    <s v=""/>
    <s v=""/>
    <s v=""/>
    <s v=""/>
    <s v=""/>
    <m/>
    <n v="0"/>
    <m/>
    <m/>
    <m/>
    <m/>
    <m/>
    <m/>
    <x v="8"/>
  </r>
  <r>
    <n v="104"/>
    <s v="Implementación RAN"/>
    <s v="SNC-104"/>
    <x v="8"/>
    <m/>
    <m/>
    <x v="12"/>
    <m/>
    <m/>
    <m/>
    <s v=""/>
    <m/>
    <s v=""/>
    <s v=""/>
    <s v=""/>
    <s v=""/>
    <s v=""/>
    <m/>
    <n v="0"/>
    <m/>
    <m/>
    <m/>
    <m/>
    <m/>
    <m/>
    <x v="8"/>
  </r>
  <r>
    <n v="105"/>
    <s v="Implementación RAN"/>
    <s v="SNC-105"/>
    <x v="8"/>
    <m/>
    <m/>
    <x v="12"/>
    <m/>
    <m/>
    <m/>
    <s v=""/>
    <m/>
    <s v=""/>
    <s v=""/>
    <s v=""/>
    <s v=""/>
    <s v=""/>
    <m/>
    <n v="0"/>
    <m/>
    <m/>
    <m/>
    <m/>
    <m/>
    <m/>
    <x v="8"/>
  </r>
  <r>
    <n v="106"/>
    <s v="Implementación RAN"/>
    <s v="SNC-106"/>
    <x v="8"/>
    <m/>
    <m/>
    <x v="12"/>
    <m/>
    <m/>
    <m/>
    <s v=""/>
    <m/>
    <s v=""/>
    <s v=""/>
    <s v=""/>
    <s v=""/>
    <s v=""/>
    <m/>
    <n v="0"/>
    <m/>
    <m/>
    <m/>
    <m/>
    <m/>
    <m/>
    <x v="8"/>
  </r>
  <r>
    <n v="107"/>
    <s v="Implementación RAN"/>
    <s v="SNC-107"/>
    <x v="8"/>
    <m/>
    <m/>
    <x v="12"/>
    <m/>
    <m/>
    <m/>
    <s v=""/>
    <m/>
    <s v=""/>
    <s v=""/>
    <s v=""/>
    <s v=""/>
    <s v=""/>
    <m/>
    <n v="0"/>
    <m/>
    <m/>
    <m/>
    <m/>
    <m/>
    <m/>
    <x v="8"/>
  </r>
  <r>
    <n v="108"/>
    <s v="Implementación RAN"/>
    <s v="SNC-108"/>
    <x v="8"/>
    <m/>
    <m/>
    <x v="12"/>
    <m/>
    <m/>
    <m/>
    <s v=""/>
    <m/>
    <s v=""/>
    <s v=""/>
    <s v=""/>
    <s v=""/>
    <s v=""/>
    <m/>
    <n v="0"/>
    <m/>
    <m/>
    <m/>
    <m/>
    <m/>
    <m/>
    <x v="8"/>
  </r>
  <r>
    <n v="109"/>
    <s v="Implementación RAN"/>
    <s v="SNC-109"/>
    <x v="8"/>
    <m/>
    <m/>
    <x v="12"/>
    <m/>
    <m/>
    <m/>
    <s v=""/>
    <m/>
    <s v=""/>
    <s v=""/>
    <s v=""/>
    <s v=""/>
    <s v=""/>
    <m/>
    <n v="0"/>
    <m/>
    <m/>
    <m/>
    <m/>
    <m/>
    <m/>
    <x v="8"/>
  </r>
  <r>
    <n v="110"/>
    <s v="Implementación RAN"/>
    <s v="SNC-110"/>
    <x v="8"/>
    <m/>
    <m/>
    <x v="12"/>
    <m/>
    <m/>
    <m/>
    <s v=""/>
    <m/>
    <s v=""/>
    <s v=""/>
    <s v=""/>
    <s v=""/>
    <s v=""/>
    <m/>
    <n v="0"/>
    <m/>
    <m/>
    <m/>
    <m/>
    <m/>
    <m/>
    <x v="8"/>
  </r>
  <r>
    <n v="111"/>
    <s v="Implementación RAN"/>
    <s v="SNC-111"/>
    <x v="8"/>
    <m/>
    <m/>
    <x v="12"/>
    <m/>
    <m/>
    <m/>
    <s v=""/>
    <m/>
    <s v=""/>
    <s v=""/>
    <s v=""/>
    <s v=""/>
    <s v=""/>
    <m/>
    <n v="0"/>
    <m/>
    <m/>
    <m/>
    <m/>
    <m/>
    <m/>
    <x v="8"/>
  </r>
  <r>
    <n v="112"/>
    <s v="Implementación RAN"/>
    <s v="SNC-112"/>
    <x v="8"/>
    <m/>
    <m/>
    <x v="12"/>
    <m/>
    <m/>
    <m/>
    <s v=""/>
    <m/>
    <s v=""/>
    <s v=""/>
    <s v=""/>
    <s v=""/>
    <s v=""/>
    <m/>
    <n v="0"/>
    <m/>
    <m/>
    <m/>
    <m/>
    <m/>
    <m/>
    <x v="8"/>
  </r>
  <r>
    <n v="113"/>
    <s v="Implementación RAN"/>
    <s v="SNC-113"/>
    <x v="8"/>
    <m/>
    <m/>
    <x v="12"/>
    <m/>
    <m/>
    <m/>
    <s v=""/>
    <m/>
    <s v=""/>
    <s v=""/>
    <s v=""/>
    <s v=""/>
    <s v=""/>
    <m/>
    <n v="0"/>
    <m/>
    <m/>
    <m/>
    <m/>
    <m/>
    <m/>
    <x v="8"/>
  </r>
  <r>
    <n v="114"/>
    <s v="Implementación RAN"/>
    <s v="SNC-114"/>
    <x v="8"/>
    <m/>
    <m/>
    <x v="12"/>
    <m/>
    <m/>
    <m/>
    <s v=""/>
    <m/>
    <s v=""/>
    <s v=""/>
    <s v=""/>
    <s v=""/>
    <s v=""/>
    <m/>
    <n v="0"/>
    <m/>
    <m/>
    <m/>
    <m/>
    <m/>
    <m/>
    <x v="8"/>
  </r>
  <r>
    <n v="115"/>
    <s v="Implementación RAN"/>
    <s v="SNC-115"/>
    <x v="8"/>
    <m/>
    <m/>
    <x v="12"/>
    <m/>
    <m/>
    <m/>
    <s v=""/>
    <m/>
    <s v=""/>
    <s v=""/>
    <s v=""/>
    <s v=""/>
    <s v=""/>
    <m/>
    <n v="0"/>
    <m/>
    <m/>
    <m/>
    <m/>
    <m/>
    <m/>
    <x v="8"/>
  </r>
  <r>
    <n v="116"/>
    <s v="Implementación RAN"/>
    <s v="SNC-116"/>
    <x v="8"/>
    <m/>
    <m/>
    <x v="12"/>
    <m/>
    <m/>
    <m/>
    <s v=""/>
    <m/>
    <s v=""/>
    <s v=""/>
    <s v=""/>
    <s v=""/>
    <s v=""/>
    <m/>
    <n v="0"/>
    <m/>
    <m/>
    <m/>
    <m/>
    <m/>
    <m/>
    <x v="8"/>
  </r>
  <r>
    <n v="117"/>
    <s v="Implementación RAN"/>
    <s v="SNC-117"/>
    <x v="8"/>
    <m/>
    <m/>
    <x v="12"/>
    <m/>
    <m/>
    <m/>
    <s v=""/>
    <m/>
    <s v=""/>
    <s v=""/>
    <s v=""/>
    <s v=""/>
    <s v=""/>
    <m/>
    <n v="0"/>
    <m/>
    <m/>
    <m/>
    <m/>
    <m/>
    <m/>
    <x v="8"/>
  </r>
  <r>
    <n v="118"/>
    <s v="Implementación RAN"/>
    <s v="SNC-118"/>
    <x v="8"/>
    <m/>
    <m/>
    <x v="12"/>
    <m/>
    <m/>
    <m/>
    <s v=""/>
    <m/>
    <s v=""/>
    <s v=""/>
    <s v=""/>
    <s v=""/>
    <s v=""/>
    <m/>
    <n v="0"/>
    <m/>
    <m/>
    <m/>
    <m/>
    <m/>
    <m/>
    <x v="8"/>
  </r>
  <r>
    <n v="119"/>
    <s v="Implementación RAN"/>
    <s v="SNC-119"/>
    <x v="8"/>
    <m/>
    <m/>
    <x v="12"/>
    <m/>
    <m/>
    <m/>
    <s v=""/>
    <m/>
    <s v=""/>
    <s v=""/>
    <s v=""/>
    <s v=""/>
    <s v=""/>
    <m/>
    <n v="0"/>
    <m/>
    <m/>
    <m/>
    <m/>
    <m/>
    <m/>
    <x v="8"/>
  </r>
  <r>
    <n v="120"/>
    <s v="Implementación RAN"/>
    <s v="SNC-120"/>
    <x v="8"/>
    <m/>
    <m/>
    <x v="12"/>
    <m/>
    <m/>
    <m/>
    <s v=""/>
    <m/>
    <s v=""/>
    <s v=""/>
    <s v=""/>
    <s v=""/>
    <s v=""/>
    <m/>
    <n v="0"/>
    <m/>
    <m/>
    <m/>
    <m/>
    <m/>
    <m/>
    <x v="8"/>
  </r>
  <r>
    <n v="121"/>
    <s v="Implementación RAN"/>
    <s v="SNC-121"/>
    <x v="8"/>
    <m/>
    <m/>
    <x v="12"/>
    <m/>
    <m/>
    <m/>
    <s v=""/>
    <m/>
    <s v=""/>
    <s v=""/>
    <s v=""/>
    <s v=""/>
    <s v=""/>
    <m/>
    <n v="0"/>
    <m/>
    <m/>
    <m/>
    <m/>
    <m/>
    <m/>
    <x v="8"/>
  </r>
  <r>
    <n v="122"/>
    <s v="Implementación RAN"/>
    <s v="SNC-122"/>
    <x v="8"/>
    <m/>
    <m/>
    <x v="12"/>
    <m/>
    <m/>
    <m/>
    <s v=""/>
    <m/>
    <s v=""/>
    <s v=""/>
    <s v=""/>
    <s v=""/>
    <s v=""/>
    <m/>
    <n v="0"/>
    <m/>
    <m/>
    <m/>
    <m/>
    <m/>
    <m/>
    <x v="8"/>
  </r>
  <r>
    <n v="123"/>
    <s v="Implementación RAN"/>
    <s v="SNC-123"/>
    <x v="8"/>
    <m/>
    <m/>
    <x v="12"/>
    <m/>
    <m/>
    <m/>
    <s v=""/>
    <m/>
    <s v=""/>
    <s v=""/>
    <s v=""/>
    <s v=""/>
    <s v=""/>
    <m/>
    <n v="0"/>
    <m/>
    <m/>
    <m/>
    <m/>
    <m/>
    <m/>
    <x v="8"/>
  </r>
  <r>
    <n v="124"/>
    <s v="Implementación RAN"/>
    <s v="SNC-124"/>
    <x v="8"/>
    <m/>
    <m/>
    <x v="12"/>
    <m/>
    <m/>
    <m/>
    <s v=""/>
    <m/>
    <s v=""/>
    <s v=""/>
    <s v=""/>
    <s v=""/>
    <s v=""/>
    <m/>
    <n v="0"/>
    <m/>
    <m/>
    <m/>
    <m/>
    <m/>
    <m/>
    <x v="8"/>
  </r>
  <r>
    <n v="125"/>
    <s v="Implementación RAN"/>
    <s v="SNC-125"/>
    <x v="8"/>
    <m/>
    <m/>
    <x v="12"/>
    <m/>
    <m/>
    <m/>
    <s v=""/>
    <m/>
    <s v=""/>
    <s v=""/>
    <s v=""/>
    <s v=""/>
    <s v=""/>
    <m/>
    <n v="0"/>
    <m/>
    <m/>
    <m/>
    <m/>
    <m/>
    <m/>
    <x v="8"/>
  </r>
  <r>
    <n v="126"/>
    <s v="Implementación RAN"/>
    <s v="SNC-126"/>
    <x v="8"/>
    <m/>
    <m/>
    <x v="12"/>
    <m/>
    <m/>
    <m/>
    <s v=""/>
    <m/>
    <s v=""/>
    <s v=""/>
    <s v=""/>
    <s v=""/>
    <s v=""/>
    <m/>
    <n v="0"/>
    <m/>
    <m/>
    <m/>
    <m/>
    <m/>
    <m/>
    <x v="8"/>
  </r>
  <r>
    <n v="127"/>
    <s v="Implementación RAN"/>
    <s v="SNC-127"/>
    <x v="8"/>
    <m/>
    <m/>
    <x v="12"/>
    <m/>
    <m/>
    <m/>
    <s v=""/>
    <m/>
    <s v=""/>
    <s v=""/>
    <s v=""/>
    <s v=""/>
    <s v=""/>
    <m/>
    <n v="0"/>
    <m/>
    <m/>
    <m/>
    <m/>
    <m/>
    <m/>
    <x v="8"/>
  </r>
  <r>
    <n v="128"/>
    <s v="Implementación RAN"/>
    <s v="SNC-128"/>
    <x v="8"/>
    <m/>
    <m/>
    <x v="12"/>
    <m/>
    <m/>
    <m/>
    <s v=""/>
    <m/>
    <s v=""/>
    <s v=""/>
    <s v=""/>
    <s v=""/>
    <s v=""/>
    <m/>
    <n v="0"/>
    <m/>
    <m/>
    <m/>
    <m/>
    <m/>
    <m/>
    <x v="8"/>
  </r>
  <r>
    <n v="129"/>
    <s v="Implementación RAN"/>
    <s v="SNC-129"/>
    <x v="8"/>
    <m/>
    <m/>
    <x v="12"/>
    <m/>
    <m/>
    <m/>
    <s v=""/>
    <m/>
    <s v=""/>
    <s v=""/>
    <s v=""/>
    <s v=""/>
    <s v=""/>
    <m/>
    <n v="0"/>
    <m/>
    <m/>
    <m/>
    <m/>
    <m/>
    <m/>
    <x v="8"/>
  </r>
  <r>
    <n v="130"/>
    <s v="Implementación RAN"/>
    <s v="SNC-130"/>
    <x v="8"/>
    <m/>
    <m/>
    <x v="12"/>
    <m/>
    <m/>
    <m/>
    <s v=""/>
    <m/>
    <s v=""/>
    <s v=""/>
    <s v=""/>
    <s v=""/>
    <s v=""/>
    <m/>
    <n v="0"/>
    <m/>
    <m/>
    <m/>
    <m/>
    <m/>
    <m/>
    <x v="8"/>
  </r>
  <r>
    <n v="131"/>
    <s v="Implementación RAN"/>
    <s v="SNC-131"/>
    <x v="8"/>
    <m/>
    <m/>
    <x v="12"/>
    <m/>
    <m/>
    <m/>
    <s v=""/>
    <m/>
    <s v=""/>
    <s v=""/>
    <s v=""/>
    <s v=""/>
    <s v=""/>
    <m/>
    <n v="0"/>
    <m/>
    <m/>
    <m/>
    <m/>
    <m/>
    <m/>
    <x v="8"/>
  </r>
  <r>
    <n v="132"/>
    <s v="Implementación RAN"/>
    <s v="SNC-132"/>
    <x v="8"/>
    <m/>
    <m/>
    <x v="12"/>
    <m/>
    <m/>
    <m/>
    <s v=""/>
    <m/>
    <s v=""/>
    <s v=""/>
    <s v=""/>
    <s v=""/>
    <s v=""/>
    <m/>
    <n v="0"/>
    <m/>
    <m/>
    <m/>
    <m/>
    <m/>
    <m/>
    <x v="8"/>
  </r>
  <r>
    <n v="133"/>
    <s v="Implementación RAN"/>
    <s v="SNC-133"/>
    <x v="8"/>
    <m/>
    <m/>
    <x v="12"/>
    <m/>
    <m/>
    <m/>
    <s v=""/>
    <m/>
    <s v=""/>
    <s v=""/>
    <s v=""/>
    <s v=""/>
    <s v=""/>
    <m/>
    <n v="0"/>
    <m/>
    <m/>
    <m/>
    <m/>
    <m/>
    <m/>
    <x v="8"/>
  </r>
  <r>
    <n v="134"/>
    <s v="Implementación RAN"/>
    <s v="SNC-134"/>
    <x v="8"/>
    <m/>
    <m/>
    <x v="12"/>
    <m/>
    <m/>
    <m/>
    <s v=""/>
    <m/>
    <s v=""/>
    <s v=""/>
    <s v=""/>
    <s v=""/>
    <s v=""/>
    <m/>
    <n v="0"/>
    <m/>
    <m/>
    <m/>
    <m/>
    <m/>
    <m/>
    <x v="8"/>
  </r>
  <r>
    <n v="135"/>
    <s v="Implementación RAN"/>
    <s v="SNC-135"/>
    <x v="8"/>
    <m/>
    <m/>
    <x v="12"/>
    <m/>
    <m/>
    <m/>
    <s v=""/>
    <m/>
    <s v=""/>
    <s v=""/>
    <s v=""/>
    <s v=""/>
    <s v=""/>
    <m/>
    <n v="0"/>
    <m/>
    <m/>
    <m/>
    <m/>
    <m/>
    <m/>
    <x v="8"/>
  </r>
  <r>
    <n v="136"/>
    <s v="Implementación RAN"/>
    <s v="SNC-136"/>
    <x v="8"/>
    <m/>
    <m/>
    <x v="12"/>
    <m/>
    <m/>
    <m/>
    <s v=""/>
    <m/>
    <s v=""/>
    <s v=""/>
    <s v=""/>
    <s v=""/>
    <s v=""/>
    <m/>
    <n v="0"/>
    <m/>
    <m/>
    <m/>
    <m/>
    <m/>
    <m/>
    <x v="8"/>
  </r>
  <r>
    <n v="137"/>
    <s v="Implementación RAN"/>
    <s v="SNC-137"/>
    <x v="8"/>
    <m/>
    <m/>
    <x v="12"/>
    <m/>
    <m/>
    <m/>
    <s v=""/>
    <m/>
    <s v=""/>
    <s v=""/>
    <s v=""/>
    <s v=""/>
    <s v=""/>
    <m/>
    <n v="0"/>
    <m/>
    <m/>
    <m/>
    <m/>
    <m/>
    <m/>
    <x v="8"/>
  </r>
  <r>
    <n v="138"/>
    <s v="Implementación RAN"/>
    <s v="SNC-138"/>
    <x v="8"/>
    <m/>
    <m/>
    <x v="12"/>
    <m/>
    <m/>
    <m/>
    <s v=""/>
    <m/>
    <s v=""/>
    <s v=""/>
    <s v=""/>
    <s v=""/>
    <s v=""/>
    <m/>
    <n v="0"/>
    <m/>
    <m/>
    <m/>
    <m/>
    <m/>
    <m/>
    <x v="8"/>
  </r>
  <r>
    <n v="139"/>
    <s v="Implementación RAN"/>
    <s v="SNC-139"/>
    <x v="8"/>
    <m/>
    <m/>
    <x v="12"/>
    <m/>
    <m/>
    <m/>
    <s v=""/>
    <m/>
    <s v=""/>
    <s v=""/>
    <s v=""/>
    <s v=""/>
    <s v=""/>
    <m/>
    <n v="0"/>
    <m/>
    <m/>
    <m/>
    <m/>
    <m/>
    <m/>
    <x v="8"/>
  </r>
  <r>
    <n v="140"/>
    <s v="Implementación RAN"/>
    <s v="SNC-140"/>
    <x v="8"/>
    <m/>
    <m/>
    <x v="12"/>
    <m/>
    <m/>
    <m/>
    <s v=""/>
    <m/>
    <s v=""/>
    <s v=""/>
    <s v=""/>
    <s v=""/>
    <s v=""/>
    <m/>
    <n v="0"/>
    <m/>
    <m/>
    <m/>
    <m/>
    <m/>
    <m/>
    <x v="8"/>
  </r>
  <r>
    <n v="141"/>
    <s v="Implementación RAN"/>
    <s v="SNC-141"/>
    <x v="8"/>
    <m/>
    <m/>
    <x v="12"/>
    <m/>
    <m/>
    <m/>
    <s v=""/>
    <m/>
    <s v=""/>
    <s v=""/>
    <s v=""/>
    <s v=""/>
    <s v=""/>
    <m/>
    <n v="0"/>
    <m/>
    <m/>
    <m/>
    <m/>
    <m/>
    <m/>
    <x v="8"/>
  </r>
  <r>
    <n v="142"/>
    <s v="Implementación RAN"/>
    <s v="SNC-142"/>
    <x v="8"/>
    <m/>
    <m/>
    <x v="12"/>
    <m/>
    <m/>
    <m/>
    <s v=""/>
    <m/>
    <s v=""/>
    <s v=""/>
    <s v=""/>
    <s v=""/>
    <s v=""/>
    <m/>
    <n v="0"/>
    <m/>
    <m/>
    <m/>
    <m/>
    <m/>
    <m/>
    <x v="8"/>
  </r>
  <r>
    <n v="143"/>
    <s v="Implementación RAN"/>
    <s v="SNC-143"/>
    <x v="8"/>
    <m/>
    <m/>
    <x v="12"/>
    <m/>
    <m/>
    <m/>
    <s v=""/>
    <m/>
    <s v=""/>
    <s v=""/>
    <s v=""/>
    <s v=""/>
    <s v=""/>
    <m/>
    <n v="0"/>
    <m/>
    <m/>
    <m/>
    <m/>
    <m/>
    <m/>
    <x v="8"/>
  </r>
  <r>
    <n v="144"/>
    <s v="Implementación RAN"/>
    <s v="SNC-144"/>
    <x v="8"/>
    <m/>
    <m/>
    <x v="12"/>
    <m/>
    <m/>
    <m/>
    <s v=""/>
    <m/>
    <s v=""/>
    <s v=""/>
    <s v=""/>
    <s v=""/>
    <s v=""/>
    <m/>
    <n v="0"/>
    <m/>
    <m/>
    <m/>
    <m/>
    <m/>
    <m/>
    <x v="8"/>
  </r>
  <r>
    <n v="145"/>
    <s v="Implementación RAN"/>
    <s v="SNC-145"/>
    <x v="8"/>
    <m/>
    <m/>
    <x v="12"/>
    <m/>
    <m/>
    <m/>
    <s v=""/>
    <m/>
    <s v=""/>
    <s v=""/>
    <s v=""/>
    <s v=""/>
    <s v=""/>
    <m/>
    <n v="0"/>
    <m/>
    <m/>
    <m/>
    <m/>
    <m/>
    <m/>
    <x v="8"/>
  </r>
  <r>
    <n v="146"/>
    <s v="Implementación RAN"/>
    <s v="SNC-146"/>
    <x v="8"/>
    <m/>
    <m/>
    <x v="12"/>
    <m/>
    <m/>
    <m/>
    <s v=""/>
    <m/>
    <s v=""/>
    <s v=""/>
    <s v=""/>
    <s v=""/>
    <s v=""/>
    <m/>
    <n v="0"/>
    <m/>
    <m/>
    <m/>
    <m/>
    <m/>
    <m/>
    <x v="8"/>
  </r>
  <r>
    <n v="147"/>
    <s v="Implementación RAN"/>
    <s v="SNC-147"/>
    <x v="8"/>
    <m/>
    <m/>
    <x v="12"/>
    <m/>
    <m/>
    <m/>
    <s v=""/>
    <m/>
    <s v=""/>
    <s v=""/>
    <s v=""/>
    <s v=""/>
    <s v=""/>
    <m/>
    <n v="0"/>
    <m/>
    <m/>
    <m/>
    <m/>
    <m/>
    <m/>
    <x v="8"/>
  </r>
  <r>
    <n v="148"/>
    <s v="Implementación RAN"/>
    <s v="SNC-148"/>
    <x v="8"/>
    <m/>
    <m/>
    <x v="12"/>
    <m/>
    <m/>
    <m/>
    <s v=""/>
    <m/>
    <s v=""/>
    <s v=""/>
    <s v=""/>
    <s v=""/>
    <s v=""/>
    <m/>
    <n v="0"/>
    <m/>
    <m/>
    <m/>
    <m/>
    <m/>
    <m/>
    <x v="8"/>
  </r>
  <r>
    <n v="149"/>
    <s v="Implementación RAN"/>
    <s v="SNC-149"/>
    <x v="8"/>
    <m/>
    <m/>
    <x v="12"/>
    <m/>
    <m/>
    <m/>
    <s v=""/>
    <m/>
    <s v=""/>
    <s v=""/>
    <s v=""/>
    <s v=""/>
    <s v=""/>
    <m/>
    <n v="0"/>
    <m/>
    <m/>
    <m/>
    <m/>
    <m/>
    <m/>
    <x v="8"/>
  </r>
  <r>
    <n v="150"/>
    <s v="Implementación RAN"/>
    <s v="SNC-150"/>
    <x v="8"/>
    <m/>
    <m/>
    <x v="12"/>
    <m/>
    <m/>
    <m/>
    <s v=""/>
    <m/>
    <s v=""/>
    <s v=""/>
    <s v=""/>
    <s v=""/>
    <s v=""/>
    <m/>
    <n v="0"/>
    <m/>
    <m/>
    <m/>
    <m/>
    <m/>
    <m/>
    <x v="8"/>
  </r>
  <r>
    <n v="151"/>
    <s v="Implementación RAN"/>
    <s v="SNC-151"/>
    <x v="8"/>
    <m/>
    <m/>
    <x v="12"/>
    <m/>
    <m/>
    <m/>
    <s v=""/>
    <m/>
    <s v=""/>
    <s v=""/>
    <s v=""/>
    <s v=""/>
    <s v=""/>
    <m/>
    <n v="0"/>
    <m/>
    <m/>
    <m/>
    <m/>
    <m/>
    <m/>
    <x v="8"/>
  </r>
  <r>
    <n v="152"/>
    <s v="Implementación RAN"/>
    <s v="SNC-152"/>
    <x v="8"/>
    <m/>
    <m/>
    <x v="12"/>
    <m/>
    <m/>
    <m/>
    <s v=""/>
    <m/>
    <s v=""/>
    <s v=""/>
    <s v=""/>
    <s v=""/>
    <s v=""/>
    <m/>
    <n v="0"/>
    <m/>
    <m/>
    <m/>
    <m/>
    <m/>
    <m/>
    <x v="8"/>
  </r>
  <r>
    <n v="153"/>
    <s v="Implementación RAN"/>
    <s v="SNC-153"/>
    <x v="8"/>
    <m/>
    <m/>
    <x v="12"/>
    <m/>
    <m/>
    <m/>
    <s v=""/>
    <m/>
    <s v=""/>
    <s v=""/>
    <s v=""/>
    <s v=""/>
    <s v=""/>
    <m/>
    <n v="0"/>
    <m/>
    <m/>
    <m/>
    <m/>
    <m/>
    <m/>
    <x v="8"/>
  </r>
  <r>
    <n v="154"/>
    <s v="Implementación RAN"/>
    <s v="SNC-154"/>
    <x v="8"/>
    <m/>
    <m/>
    <x v="12"/>
    <m/>
    <m/>
    <m/>
    <s v=""/>
    <m/>
    <s v=""/>
    <s v=""/>
    <s v=""/>
    <s v=""/>
    <s v=""/>
    <m/>
    <n v="0"/>
    <m/>
    <m/>
    <m/>
    <m/>
    <m/>
    <m/>
    <x v="8"/>
  </r>
  <r>
    <n v="155"/>
    <s v="Implementación RAN"/>
    <s v="SNC-155"/>
    <x v="8"/>
    <m/>
    <m/>
    <x v="12"/>
    <m/>
    <m/>
    <m/>
    <s v=""/>
    <m/>
    <s v=""/>
    <s v=""/>
    <s v=""/>
    <s v=""/>
    <s v=""/>
    <m/>
    <n v="0"/>
    <m/>
    <m/>
    <m/>
    <m/>
    <m/>
    <m/>
    <x v="8"/>
  </r>
  <r>
    <n v="156"/>
    <s v="Implementación RAN"/>
    <s v="SNC-156"/>
    <x v="8"/>
    <m/>
    <m/>
    <x v="12"/>
    <m/>
    <m/>
    <m/>
    <s v=""/>
    <m/>
    <s v=""/>
    <s v=""/>
    <s v=""/>
    <s v=""/>
    <s v=""/>
    <m/>
    <n v="0"/>
    <m/>
    <m/>
    <m/>
    <m/>
    <m/>
    <m/>
    <x v="8"/>
  </r>
  <r>
    <n v="157"/>
    <s v="Implementación RAN"/>
    <s v="SNC-157"/>
    <x v="8"/>
    <m/>
    <m/>
    <x v="12"/>
    <m/>
    <m/>
    <m/>
    <s v=""/>
    <m/>
    <s v=""/>
    <s v=""/>
    <s v=""/>
    <s v=""/>
    <s v=""/>
    <m/>
    <n v="0"/>
    <m/>
    <m/>
    <m/>
    <m/>
    <m/>
    <m/>
    <x v="8"/>
  </r>
  <r>
    <n v="158"/>
    <s v="Implementación RAN"/>
    <s v="SNC-158"/>
    <x v="8"/>
    <m/>
    <m/>
    <x v="12"/>
    <m/>
    <m/>
    <m/>
    <s v=""/>
    <m/>
    <s v=""/>
    <s v=""/>
    <s v=""/>
    <s v=""/>
    <s v=""/>
    <m/>
    <n v="0"/>
    <m/>
    <m/>
    <m/>
    <m/>
    <m/>
    <m/>
    <x v="8"/>
  </r>
  <r>
    <n v="159"/>
    <s v="Implementación RAN"/>
    <s v="SNC-159"/>
    <x v="8"/>
    <m/>
    <m/>
    <x v="12"/>
    <m/>
    <m/>
    <m/>
    <s v=""/>
    <m/>
    <s v=""/>
    <s v=""/>
    <s v=""/>
    <s v=""/>
    <s v=""/>
    <m/>
    <n v="0"/>
    <m/>
    <m/>
    <m/>
    <m/>
    <m/>
    <m/>
    <x v="8"/>
  </r>
  <r>
    <n v="160"/>
    <s v="Implementación RAN"/>
    <s v="SNC-160"/>
    <x v="8"/>
    <m/>
    <m/>
    <x v="12"/>
    <m/>
    <m/>
    <m/>
    <s v=""/>
    <m/>
    <s v=""/>
    <s v=""/>
    <s v=""/>
    <s v=""/>
    <s v=""/>
    <m/>
    <n v="0"/>
    <m/>
    <m/>
    <m/>
    <m/>
    <m/>
    <m/>
    <x v="8"/>
  </r>
  <r>
    <n v="161"/>
    <s v="Implementación RAN"/>
    <s v="SNC-161"/>
    <x v="8"/>
    <m/>
    <m/>
    <x v="12"/>
    <m/>
    <m/>
    <m/>
    <s v=""/>
    <m/>
    <s v=""/>
    <s v=""/>
    <s v=""/>
    <s v=""/>
    <s v=""/>
    <m/>
    <n v="0"/>
    <m/>
    <m/>
    <m/>
    <m/>
    <m/>
    <m/>
    <x v="8"/>
  </r>
  <r>
    <n v="162"/>
    <s v="Implementación RAN"/>
    <s v="SNC-162"/>
    <x v="8"/>
    <m/>
    <m/>
    <x v="12"/>
    <m/>
    <m/>
    <m/>
    <s v=""/>
    <m/>
    <s v=""/>
    <s v=""/>
    <s v=""/>
    <s v=""/>
    <s v=""/>
    <m/>
    <n v="0"/>
    <m/>
    <m/>
    <m/>
    <m/>
    <m/>
    <m/>
    <x v="8"/>
  </r>
  <r>
    <n v="163"/>
    <s v="Implementación RAN"/>
    <s v="SNC-163"/>
    <x v="8"/>
    <m/>
    <m/>
    <x v="12"/>
    <m/>
    <m/>
    <m/>
    <s v=""/>
    <m/>
    <s v=""/>
    <s v=""/>
    <s v=""/>
    <s v=""/>
    <s v=""/>
    <m/>
    <n v="0"/>
    <m/>
    <m/>
    <m/>
    <m/>
    <m/>
    <m/>
    <x v="8"/>
  </r>
  <r>
    <n v="164"/>
    <s v="Implementación RAN"/>
    <s v="SNC-164"/>
    <x v="8"/>
    <m/>
    <m/>
    <x v="12"/>
    <m/>
    <m/>
    <m/>
    <s v=""/>
    <m/>
    <s v=""/>
    <s v=""/>
    <s v=""/>
    <s v=""/>
    <s v=""/>
    <m/>
    <n v="0"/>
    <m/>
    <m/>
    <m/>
    <m/>
    <m/>
    <m/>
    <x v="8"/>
  </r>
  <r>
    <n v="165"/>
    <s v="Implementación RAN"/>
    <s v="SNC-165"/>
    <x v="8"/>
    <m/>
    <m/>
    <x v="12"/>
    <m/>
    <m/>
    <m/>
    <s v=""/>
    <m/>
    <s v=""/>
    <s v=""/>
    <s v=""/>
    <s v=""/>
    <s v=""/>
    <m/>
    <n v="0"/>
    <m/>
    <m/>
    <m/>
    <m/>
    <m/>
    <m/>
    <x v="8"/>
  </r>
  <r>
    <n v="166"/>
    <s v="Implementación RAN"/>
    <s v="SNC-166"/>
    <x v="8"/>
    <m/>
    <m/>
    <x v="12"/>
    <m/>
    <m/>
    <m/>
    <s v=""/>
    <m/>
    <s v=""/>
    <s v=""/>
    <s v=""/>
    <s v=""/>
    <s v=""/>
    <m/>
    <n v="0"/>
    <m/>
    <m/>
    <m/>
    <m/>
    <m/>
    <m/>
    <x v="8"/>
  </r>
  <r>
    <n v="167"/>
    <s v="Implementación RAN"/>
    <s v="SNC-167"/>
    <x v="8"/>
    <m/>
    <m/>
    <x v="12"/>
    <m/>
    <m/>
    <m/>
    <s v=""/>
    <m/>
    <s v=""/>
    <s v=""/>
    <s v=""/>
    <s v=""/>
    <s v=""/>
    <m/>
    <n v="0"/>
    <m/>
    <m/>
    <m/>
    <m/>
    <m/>
    <m/>
    <x v="8"/>
  </r>
  <r>
    <n v="168"/>
    <s v="Implementación RAN"/>
    <s v="SNC-168"/>
    <x v="8"/>
    <m/>
    <m/>
    <x v="12"/>
    <m/>
    <m/>
    <m/>
    <s v=""/>
    <m/>
    <s v=""/>
    <s v=""/>
    <s v=""/>
    <s v=""/>
    <s v=""/>
    <m/>
    <n v="0"/>
    <m/>
    <m/>
    <m/>
    <m/>
    <m/>
    <m/>
    <x v="8"/>
  </r>
  <r>
    <n v="169"/>
    <s v="Implementación RAN"/>
    <s v="SNC-169"/>
    <x v="8"/>
    <m/>
    <m/>
    <x v="12"/>
    <m/>
    <m/>
    <m/>
    <s v=""/>
    <m/>
    <s v=""/>
    <s v=""/>
    <s v=""/>
    <s v=""/>
    <s v=""/>
    <m/>
    <n v="0"/>
    <m/>
    <m/>
    <m/>
    <m/>
    <m/>
    <m/>
    <x v="8"/>
  </r>
  <r>
    <n v="170"/>
    <s v="Implementación RAN"/>
    <s v="SNC-170"/>
    <x v="8"/>
    <m/>
    <m/>
    <x v="12"/>
    <m/>
    <m/>
    <m/>
    <s v=""/>
    <m/>
    <s v=""/>
    <s v=""/>
    <s v=""/>
    <s v=""/>
    <s v=""/>
    <m/>
    <n v="0"/>
    <m/>
    <m/>
    <m/>
    <m/>
    <m/>
    <m/>
    <x v="8"/>
  </r>
  <r>
    <n v="171"/>
    <s v="Implementación RAN"/>
    <s v="SNC-171"/>
    <x v="8"/>
    <m/>
    <m/>
    <x v="12"/>
    <m/>
    <m/>
    <m/>
    <s v=""/>
    <m/>
    <s v=""/>
    <s v=""/>
    <s v=""/>
    <s v=""/>
    <s v=""/>
    <m/>
    <n v="0"/>
    <m/>
    <m/>
    <m/>
    <m/>
    <m/>
    <m/>
    <x v="8"/>
  </r>
  <r>
    <n v="172"/>
    <s v="Implementación RAN"/>
    <s v="SNC-172"/>
    <x v="8"/>
    <m/>
    <m/>
    <x v="12"/>
    <m/>
    <m/>
    <m/>
    <s v=""/>
    <m/>
    <s v=""/>
    <s v=""/>
    <s v=""/>
    <s v=""/>
    <s v=""/>
    <m/>
    <n v="0"/>
    <m/>
    <m/>
    <m/>
    <m/>
    <m/>
    <m/>
    <x v="8"/>
  </r>
  <r>
    <n v="173"/>
    <s v="Implementación RAN"/>
    <s v="SNC-173"/>
    <x v="8"/>
    <m/>
    <m/>
    <x v="12"/>
    <m/>
    <m/>
    <m/>
    <s v=""/>
    <m/>
    <s v=""/>
    <s v=""/>
    <s v=""/>
    <s v=""/>
    <s v=""/>
    <m/>
    <n v="0"/>
    <m/>
    <m/>
    <m/>
    <m/>
    <m/>
    <m/>
    <x v="8"/>
  </r>
  <r>
    <n v="174"/>
    <s v="Implementación RAN"/>
    <s v="SNC-174"/>
    <x v="8"/>
    <m/>
    <m/>
    <x v="12"/>
    <m/>
    <m/>
    <m/>
    <s v=""/>
    <m/>
    <s v=""/>
    <s v=""/>
    <s v=""/>
    <s v=""/>
    <s v=""/>
    <m/>
    <n v="0"/>
    <m/>
    <m/>
    <m/>
    <m/>
    <m/>
    <m/>
    <x v="8"/>
  </r>
  <r>
    <n v="175"/>
    <s v="Implementación RAN"/>
    <s v="SNC-175"/>
    <x v="8"/>
    <m/>
    <m/>
    <x v="12"/>
    <m/>
    <m/>
    <m/>
    <s v=""/>
    <m/>
    <s v=""/>
    <s v=""/>
    <s v=""/>
    <s v=""/>
    <s v=""/>
    <m/>
    <n v="0"/>
    <m/>
    <m/>
    <m/>
    <m/>
    <m/>
    <m/>
    <x v="8"/>
  </r>
  <r>
    <n v="176"/>
    <s v="Implementación RAN"/>
    <s v="SNC-176"/>
    <x v="8"/>
    <m/>
    <m/>
    <x v="12"/>
    <m/>
    <m/>
    <m/>
    <s v=""/>
    <m/>
    <s v=""/>
    <s v=""/>
    <s v=""/>
    <s v=""/>
    <s v=""/>
    <m/>
    <n v="0"/>
    <m/>
    <m/>
    <m/>
    <m/>
    <m/>
    <m/>
    <x v="8"/>
  </r>
  <r>
    <n v="177"/>
    <s v="Implementación RAN"/>
    <s v="SNC-177"/>
    <x v="8"/>
    <m/>
    <m/>
    <x v="12"/>
    <m/>
    <m/>
    <m/>
    <s v=""/>
    <m/>
    <s v=""/>
    <s v=""/>
    <s v=""/>
    <s v=""/>
    <s v=""/>
    <m/>
    <n v="0"/>
    <m/>
    <m/>
    <m/>
    <m/>
    <m/>
    <m/>
    <x v="8"/>
  </r>
  <r>
    <n v="178"/>
    <s v="Implementación RAN"/>
    <s v="SNC-178"/>
    <x v="8"/>
    <m/>
    <m/>
    <x v="12"/>
    <m/>
    <m/>
    <m/>
    <s v=""/>
    <m/>
    <s v=""/>
    <s v=""/>
    <s v=""/>
    <s v=""/>
    <s v=""/>
    <m/>
    <n v="0"/>
    <m/>
    <m/>
    <m/>
    <m/>
    <m/>
    <m/>
    <x v="8"/>
  </r>
  <r>
    <n v="179"/>
    <s v="Implementación RAN"/>
    <s v="SNC-179"/>
    <x v="8"/>
    <m/>
    <m/>
    <x v="12"/>
    <m/>
    <m/>
    <m/>
    <s v=""/>
    <m/>
    <s v=""/>
    <s v=""/>
    <s v=""/>
    <s v=""/>
    <s v=""/>
    <m/>
    <n v="0"/>
    <m/>
    <m/>
    <m/>
    <m/>
    <m/>
    <m/>
    <x v="8"/>
  </r>
  <r>
    <n v="180"/>
    <s v="Implementación RAN"/>
    <s v="SNC-180"/>
    <x v="8"/>
    <m/>
    <m/>
    <x v="12"/>
    <m/>
    <m/>
    <m/>
    <s v=""/>
    <m/>
    <s v=""/>
    <s v=""/>
    <s v=""/>
    <s v=""/>
    <s v=""/>
    <m/>
    <n v="0"/>
    <m/>
    <m/>
    <m/>
    <m/>
    <m/>
    <m/>
    <x v="8"/>
  </r>
  <r>
    <n v="181"/>
    <s v="Implementación RAN"/>
    <s v="SNC-181"/>
    <x v="8"/>
    <m/>
    <m/>
    <x v="12"/>
    <m/>
    <m/>
    <m/>
    <s v=""/>
    <m/>
    <s v=""/>
    <s v=""/>
    <s v=""/>
    <s v=""/>
    <s v=""/>
    <m/>
    <n v="0"/>
    <m/>
    <m/>
    <m/>
    <m/>
    <m/>
    <m/>
    <x v="8"/>
  </r>
  <r>
    <n v="182"/>
    <s v="Implementación RAN"/>
    <s v="SNC-182"/>
    <x v="8"/>
    <m/>
    <m/>
    <x v="12"/>
    <m/>
    <m/>
    <m/>
    <s v=""/>
    <m/>
    <s v=""/>
    <s v=""/>
    <s v=""/>
    <s v=""/>
    <s v=""/>
    <m/>
    <n v="0"/>
    <m/>
    <m/>
    <m/>
    <m/>
    <m/>
    <m/>
    <x v="8"/>
  </r>
  <r>
    <n v="183"/>
    <s v="Implementación RAN"/>
    <s v="SNC-183"/>
    <x v="8"/>
    <m/>
    <m/>
    <x v="12"/>
    <m/>
    <m/>
    <m/>
    <s v=""/>
    <m/>
    <s v=""/>
    <s v=""/>
    <s v=""/>
    <s v=""/>
    <s v=""/>
    <m/>
    <n v="0"/>
    <m/>
    <m/>
    <m/>
    <m/>
    <m/>
    <m/>
    <x v="8"/>
  </r>
  <r>
    <n v="184"/>
    <s v="Implementación RAN"/>
    <s v="SNC-184"/>
    <x v="8"/>
    <m/>
    <m/>
    <x v="12"/>
    <m/>
    <m/>
    <m/>
    <s v=""/>
    <m/>
    <s v=""/>
    <s v=""/>
    <s v=""/>
    <s v=""/>
    <s v=""/>
    <m/>
    <n v="0"/>
    <m/>
    <m/>
    <m/>
    <m/>
    <m/>
    <m/>
    <x v="8"/>
  </r>
  <r>
    <n v="185"/>
    <s v="Implementación RAN"/>
    <s v="SNC-185"/>
    <x v="8"/>
    <m/>
    <m/>
    <x v="12"/>
    <m/>
    <m/>
    <m/>
    <s v=""/>
    <m/>
    <s v=""/>
    <s v=""/>
    <s v=""/>
    <s v=""/>
    <s v=""/>
    <m/>
    <n v="0"/>
    <m/>
    <m/>
    <m/>
    <m/>
    <m/>
    <m/>
    <x v="8"/>
  </r>
  <r>
    <n v="186"/>
    <s v="Implementación RAN"/>
    <s v="SNC-186"/>
    <x v="8"/>
    <m/>
    <m/>
    <x v="12"/>
    <m/>
    <m/>
    <m/>
    <s v=""/>
    <m/>
    <s v=""/>
    <s v=""/>
    <s v=""/>
    <s v=""/>
    <s v=""/>
    <m/>
    <n v="0"/>
    <m/>
    <m/>
    <m/>
    <m/>
    <m/>
    <m/>
    <x v="8"/>
  </r>
  <r>
    <n v="187"/>
    <s v="Implementación RAN"/>
    <s v="SNC-187"/>
    <x v="8"/>
    <m/>
    <m/>
    <x v="12"/>
    <m/>
    <m/>
    <m/>
    <s v=""/>
    <m/>
    <s v=""/>
    <s v=""/>
    <s v=""/>
    <s v=""/>
    <s v=""/>
    <m/>
    <n v="0"/>
    <m/>
    <m/>
    <m/>
    <m/>
    <m/>
    <m/>
    <x v="8"/>
  </r>
  <r>
    <n v="188"/>
    <s v="Implementación RAN"/>
    <s v="SNC-188"/>
    <x v="8"/>
    <m/>
    <m/>
    <x v="12"/>
    <m/>
    <m/>
    <m/>
    <s v=""/>
    <m/>
    <s v=""/>
    <s v=""/>
    <s v=""/>
    <s v=""/>
    <s v=""/>
    <m/>
    <n v="0"/>
    <m/>
    <m/>
    <m/>
    <m/>
    <m/>
    <m/>
    <x v="8"/>
  </r>
  <r>
    <n v="189"/>
    <s v="Implementación RAN"/>
    <s v="SNC-189"/>
    <x v="8"/>
    <m/>
    <m/>
    <x v="12"/>
    <m/>
    <m/>
    <m/>
    <s v=""/>
    <m/>
    <s v=""/>
    <s v=""/>
    <s v=""/>
    <s v=""/>
    <s v=""/>
    <m/>
    <n v="0"/>
    <m/>
    <m/>
    <m/>
    <m/>
    <m/>
    <m/>
    <x v="8"/>
  </r>
  <r>
    <n v="190"/>
    <s v="Implementación RAN"/>
    <s v="SNC-190"/>
    <x v="8"/>
    <m/>
    <m/>
    <x v="12"/>
    <m/>
    <m/>
    <m/>
    <s v=""/>
    <m/>
    <s v=""/>
    <s v=""/>
    <s v=""/>
    <s v=""/>
    <s v=""/>
    <m/>
    <n v="0"/>
    <m/>
    <m/>
    <m/>
    <m/>
    <m/>
    <m/>
    <x v="8"/>
  </r>
  <r>
    <n v="191"/>
    <s v="Implementación RAN"/>
    <s v="SNC-191"/>
    <x v="8"/>
    <m/>
    <m/>
    <x v="12"/>
    <m/>
    <m/>
    <m/>
    <s v=""/>
    <m/>
    <s v=""/>
    <s v=""/>
    <s v=""/>
    <s v=""/>
    <s v=""/>
    <m/>
    <n v="0"/>
    <m/>
    <m/>
    <m/>
    <m/>
    <m/>
    <m/>
    <x v="8"/>
  </r>
  <r>
    <n v="192"/>
    <s v="Implementación RAN"/>
    <s v="SNC-192"/>
    <x v="8"/>
    <m/>
    <m/>
    <x v="12"/>
    <m/>
    <m/>
    <m/>
    <s v=""/>
    <m/>
    <s v=""/>
    <s v=""/>
    <s v=""/>
    <s v=""/>
    <s v=""/>
    <m/>
    <n v="0"/>
    <m/>
    <m/>
    <m/>
    <m/>
    <m/>
    <m/>
    <x v="8"/>
  </r>
  <r>
    <n v="193"/>
    <s v="Implementación RAN"/>
    <s v="SNC-193"/>
    <x v="8"/>
    <m/>
    <m/>
    <x v="12"/>
    <m/>
    <m/>
    <m/>
    <s v=""/>
    <m/>
    <s v=""/>
    <s v=""/>
    <s v=""/>
    <s v=""/>
    <s v=""/>
    <m/>
    <n v="0"/>
    <m/>
    <m/>
    <m/>
    <m/>
    <m/>
    <m/>
    <x v="8"/>
  </r>
  <r>
    <n v="194"/>
    <s v="Implementación RAN"/>
    <s v="SNC-194"/>
    <x v="8"/>
    <m/>
    <m/>
    <x v="12"/>
    <m/>
    <m/>
    <m/>
    <s v=""/>
    <m/>
    <s v=""/>
    <s v=""/>
    <s v=""/>
    <s v=""/>
    <s v=""/>
    <m/>
    <n v="0"/>
    <m/>
    <m/>
    <m/>
    <m/>
    <m/>
    <m/>
    <x v="8"/>
  </r>
  <r>
    <n v="195"/>
    <s v="Implementación RAN"/>
    <s v="SNC-195"/>
    <x v="8"/>
    <m/>
    <m/>
    <x v="12"/>
    <m/>
    <m/>
    <m/>
    <s v=""/>
    <m/>
    <s v=""/>
    <s v=""/>
    <s v=""/>
    <s v=""/>
    <s v=""/>
    <m/>
    <n v="0"/>
    <m/>
    <m/>
    <m/>
    <m/>
    <m/>
    <m/>
    <x v="8"/>
  </r>
  <r>
    <n v="196"/>
    <s v="Implementación RAN"/>
    <s v="SNC-196"/>
    <x v="8"/>
    <m/>
    <m/>
    <x v="12"/>
    <m/>
    <m/>
    <m/>
    <s v=""/>
    <m/>
    <s v=""/>
    <s v=""/>
    <s v=""/>
    <s v=""/>
    <s v=""/>
    <m/>
    <n v="0"/>
    <m/>
    <m/>
    <m/>
    <m/>
    <m/>
    <m/>
    <x v="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6">
  <r>
    <n v="1"/>
    <s v="Implementación RAN"/>
    <s v="SNC-001"/>
    <x v="0"/>
    <s v="0135179_LM_Deposito_SAT"/>
    <s v="José Arroyo"/>
    <x v="0"/>
    <d v="2020-02-22T00:00:00"/>
    <s v="Afectacion de Cruce de Sectores fuera de horario Efectivo de Afectacion "/>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3-05T00:00:00"/>
    <n v="12"/>
    <n v="0"/>
    <n v="5.0000000000000001E-4"/>
    <n v="0"/>
    <n v="0"/>
    <n v="0"/>
    <s v="Cerrado"/>
  </r>
  <r>
    <n v="2"/>
    <s v="Implementación RAN"/>
    <s v="SNC-002"/>
    <x v="1"/>
    <s v="0134249_LM_El_Condor"/>
    <s v="Ronald Buendia"/>
    <x v="1"/>
    <d v="2020-01-31T00:00:00"/>
    <s v="Cruce de Sectores"/>
    <s v="Macro"/>
    <s v="Penalidad Macro"/>
    <s v="SNC_PROV_08"/>
    <s v="Incumplimiento a la atención de reclamos y no conformidades"/>
    <x v="1"/>
    <s v="NC, penalidad, reasignación, veto"/>
    <s v="Coordinador del proyecto"/>
    <s v="0.5% por cada día de retraso del servicio asignado.  De registrarse una segunda vez esta misma deficiencia en dos meses de operación el % ascenderá a 2%,de registrarse una tercera vez el % a penalizar será del 5%, de volverse a registrar estas deficiencias en el periodo de dos  meses  de operación continua, por una cuarta vez se evaluara la continuidad de contratista en el proyecto."/>
    <d v="2020-02-05T00:00:00"/>
    <n v="5"/>
    <n v="11000"/>
    <n v="5.0000000000000001E-3"/>
    <n v="23"/>
    <n v="1265"/>
    <n v="9735"/>
    <s v="Cerrado"/>
  </r>
  <r>
    <n v="3"/>
    <s v="Implementación RAN"/>
    <s v="SNC-003"/>
    <x v="2"/>
    <s v="0136041_LM_Citibank"/>
    <s v="Dennis Evangelista"/>
    <x v="0"/>
    <d v="2020-03-30T00:00:00"/>
    <s v="Mal manejo de Seguridad en el trabajo."/>
    <s v="RANCO"/>
    <s v=""/>
    <s v="SNC_PROV_SST_04"/>
    <s v="No adoptar las medidas preventivas aplicables a las condiciones de trabajo de los que se derive un riesgo grave e inminente para la seguridad de los trabajadores."/>
    <x v="1"/>
    <s v="NC, penalidad, reasignación, veto"/>
    <s v="Coordinador del proyecto "/>
    <s v="No adoptar las medidas preventivas aplicables a las condiciones de trabajo de los que se derive un riesgo grave e inminente para la seguridad de los trabajadores."/>
    <m/>
    <n v="-43920"/>
    <n v="0"/>
    <n v="5.0000000000000001E-4"/>
    <n v="0"/>
    <n v="0"/>
    <n v="0"/>
    <s v="Cerrado"/>
  </r>
  <r>
    <n v="4"/>
    <s v="Implementación RAN"/>
    <s v="SNC-004"/>
    <x v="2"/>
    <s v="0130463_LM_PanNorte_Km33"/>
    <s v="Dennis Evangelista"/>
    <x v="0"/>
    <d v="2020-03-30T00:00:00"/>
    <s v="Afectación de Servicio fuera del Rango de Afectación."/>
    <s v="RANCO"/>
    <s v=""/>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m/>
    <n v="-43920"/>
    <n v="0"/>
    <n v="5.0000000000000001E-4"/>
    <n v="0"/>
    <n v="0"/>
    <n v="0"/>
    <s v="Cerrado"/>
  </r>
  <r>
    <n v="5"/>
    <s v="Implementación RAN"/>
    <s v="SNC-005"/>
    <x v="2"/>
    <s v="0136041_LM_Citibank"/>
    <s v="Dennis Evangelista"/>
    <x v="0"/>
    <d v="2020-04-02T00:00:00"/>
    <s v="Afectación de Servicio fuera del Rango de Afectación."/>
    <s v="RANCO"/>
    <s v=""/>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m/>
    <n v="-43923"/>
    <n v="0"/>
    <n v="5.0000000000000001E-4"/>
    <n v="0"/>
    <n v="0"/>
    <n v="0"/>
    <s v="Cerrado"/>
  </r>
  <r>
    <n v="6"/>
    <s v="Implementación RAN"/>
    <s v="SNC-006"/>
    <x v="3"/>
    <s v="0134352_AY_Querobamba_Ciudad"/>
    <s v="Rodolfo Barreto"/>
    <x v="2"/>
    <d v="2020-02-14T00:00:00"/>
    <s v="Incumplimiento injustificado en el tiempo máximo de implementación."/>
    <s v="Macro"/>
    <s v="Penalidad Macro"/>
    <s v="SNC_PROV_01"/>
    <s v="Incumplimiento injustificado en el tiempo máximo de implementación."/>
    <x v="1"/>
    <s v="NC, penalidad, reasignación, veto"/>
    <s v="Coordinador del proyecto"/>
    <s v="0.5% del precio total de la implementación por día de atraso (con un máximo de 20% dependiendo de la criticidad del sitio implementado)."/>
    <d v="2020-02-24T00:00:00"/>
    <n v="10"/>
    <n v="879.78"/>
    <n v="5.0000000000000001E-3"/>
    <n v="5"/>
    <n v="21.994500000000002"/>
    <n v="857.78549999999996"/>
    <s v="Cerrado"/>
  </r>
  <r>
    <n v="7"/>
    <s v="Implementación RAN"/>
    <s v="SNC-007"/>
    <x v="3"/>
    <s v="0132938_AP_Pacobamba"/>
    <s v="Rodolfo Barreto"/>
    <x v="2"/>
    <d v="2020-02-13T00:00:00"/>
    <s v="Incumplimiento injustificado en el tiempo máximo de implementación."/>
    <s v="Macro"/>
    <s v="Penalidad Macro"/>
    <s v="SNC_PROV_01"/>
    <s v="Incumplimiento injustificado en el tiempo máximo de implementación."/>
    <x v="1"/>
    <s v="NC, penalidad, reasignación, veto"/>
    <s v="Coordinador del proyecto"/>
    <s v="0.5% del precio total de la implementación por día de atraso (con un máximo de 20% dependiendo de la criticidad del sitio implementado)."/>
    <d v="2020-02-21T00:00:00"/>
    <n v="8"/>
    <n v="463.68"/>
    <n v="5.0000000000000001E-3"/>
    <n v="5"/>
    <n v="11.592000000000001"/>
    <n v="452.08800000000002"/>
    <s v="Cerrado"/>
  </r>
  <r>
    <n v="8"/>
    <s v="Implementación RAN"/>
    <s v="SNC-008"/>
    <x v="3"/>
    <s v="0132940_AP_San_Huancaray"/>
    <s v="Rodolfo Barreto"/>
    <x v="2"/>
    <d v="2020-02-12T00:00:00"/>
    <s v="Incumplimiento injustificado en el tiempo máximo de implementación."/>
    <s v="Macro"/>
    <s v="Penalidad Macro"/>
    <s v="SNC_PROV_01"/>
    <s v="Incumplimiento injustificado en el tiempo máximo de implementación."/>
    <x v="1"/>
    <s v="NC, penalidad, reasignación, veto"/>
    <s v="Coordinador del proyecto"/>
    <s v="0.5% del precio total de la implementación por día de atraso (con un máximo de 20% dependiendo de la criticidad del sitio implementado)."/>
    <d v="2020-02-24T00:00:00"/>
    <n v="12"/>
    <n v="2964.08"/>
    <n v="5.0000000000000001E-3"/>
    <n v="5"/>
    <n v="74.102000000000004"/>
    <n v="2889.9780000000001"/>
    <s v="Cerrado"/>
  </r>
  <r>
    <n v="9"/>
    <s v="Implementación RAN"/>
    <s v="SNC-009"/>
    <x v="3"/>
    <s v="0131576_CA_Cochabamba_Cachacar"/>
    <s v="Rodolfo Barreto"/>
    <x v="2"/>
    <d v="2020-02-12T00:00:00"/>
    <s v="Incumplimiento injustificado en el tiempo máximo de implementación."/>
    <s v="Macro"/>
    <s v="Penalidad Macro"/>
    <s v="SNC_PROV_01"/>
    <s v="Incumplimiento injustificado en el tiempo máximo de implementación."/>
    <x v="1"/>
    <s v="NC, penalidad, reasignación, veto"/>
    <s v="Coordinador del proyecto"/>
    <s v="0.5% del precio total de la implementación por día de atraso (con un máximo de 20% dependiendo de la criticidad del sitio implementado)."/>
    <d v="2020-02-29T00:00:00"/>
    <n v="17"/>
    <n v="879.78"/>
    <n v="5.0000000000000001E-3"/>
    <n v="5"/>
    <n v="21.994500000000002"/>
    <n v="857.78549999999996"/>
    <s v="Cerrado"/>
  </r>
  <r>
    <n v="10"/>
    <s v="Implementación RAN"/>
    <s v="SNC-010"/>
    <x v="3"/>
    <s v="0130918_AQ_Sihuas"/>
    <s v="Rodolfo Barreto"/>
    <x v="2"/>
    <d v="2020-01-19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1-19T00:00:00"/>
    <n v="0"/>
    <n v="2851.7"/>
    <n v="5.0000000000000001E-4"/>
    <n v="0"/>
    <n v="0"/>
    <n v="2851.7"/>
    <s v="Cerrado"/>
  </r>
  <r>
    <n v="11"/>
    <s v="Implementación RAN"/>
    <s v="SNC-011"/>
    <x v="4"/>
    <s v="0130588_LM_Nuevo_Imperial_Pueb"/>
    <s v="Ronald Buendia"/>
    <x v="3"/>
    <d v="2020-06-15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6-17T00:00:00"/>
    <n v="2"/>
    <n v="5739.2556480000003"/>
    <n v="5.0000000000000001E-4"/>
    <n v="45"/>
    <n v="129.13325208000001"/>
    <n v="5610.1223959200006"/>
    <s v="Cerrado"/>
  </r>
  <r>
    <n v="12"/>
    <s v="Implementación RAN"/>
    <s v="SNC-012"/>
    <x v="1"/>
    <s v="013252226_LM_Los_Faisanes"/>
    <s v="Ronald Buendia"/>
    <x v="3"/>
    <d v="2020-06-25T00:00:00"/>
    <s v="AFECTACION DE SERVICIO SIN VM PROGRAMADO EN NODO GUL DURANTE 29 MINo"/>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6-24T00:00:00"/>
    <n v="-1"/>
    <n v="5739.2556480000003"/>
    <n v="5.0000000000000001E-4"/>
    <n v="14"/>
    <n v="40.174789536000006"/>
    <n v="5699.0808584639999"/>
    <s v="Cerrado"/>
  </r>
  <r>
    <n v="13"/>
    <s v="Implementación RAN"/>
    <s v="SNC-013"/>
    <x v="2"/>
    <s v="0130977_AQ_Cipesac"/>
    <s v="Rodolfo Barreto"/>
    <x v="2"/>
    <d v="2020-06-19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s v="19-06-20"/>
    <n v="0"/>
    <n v="786.09"/>
    <n v="5.0000000000000001E-4"/>
    <n v="0"/>
    <n v="0"/>
    <n v="786.09"/>
    <s v="Cerrado"/>
  </r>
  <r>
    <n v="14"/>
    <s v="Implementación RAN"/>
    <s v="SNC-014"/>
    <x v="2"/>
    <s v="0130676_LI_Jose_Bejar"/>
    <s v="Rodolfo Barreto"/>
    <x v="2"/>
    <d v="2020-06-21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s v="21-06-20"/>
    <n v="0"/>
    <n v="5165.33"/>
    <n v="5.0000000000000001E-4"/>
    <n v="83"/>
    <b v="0"/>
    <n v="5165.33"/>
    <s v="Cerrado"/>
  </r>
  <r>
    <n v="15"/>
    <s v="Implementación RAN"/>
    <s v="SNC-015"/>
    <x v="2"/>
    <s v="0135521_LM_Prolongaciones"/>
    <s v="Rodolfo Barreto"/>
    <x v="4"/>
    <d v="2020-06-19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s v="19-06-20"/>
    <n v="0"/>
    <n v="3985.59"/>
    <n v="5.0000000000000001E-4"/>
    <n v="115"/>
    <n v="229.17142500000003"/>
    <n v="3756.4185750000001"/>
    <s v="Cerrado"/>
  </r>
  <r>
    <n v="16"/>
    <s v="Implementación RAN"/>
    <s v="SNC-016"/>
    <x v="5"/>
    <s v="0130959_AQ_Casa_Blanca_Aqp"/>
    <s v="Ronald Buendia"/>
    <x v="0"/>
    <d v="2020-07-17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7-17T00:00:00"/>
    <n v="0"/>
    <m/>
    <n v="5.0000000000000001E-4"/>
    <m/>
    <m/>
    <m/>
    <s v="Cerrado"/>
  </r>
  <r>
    <n v="17"/>
    <s v="Implementación RAN"/>
    <s v="SNC-017"/>
    <x v="5"/>
    <s v="0131039_LA_Super_Belaunde"/>
    <s v="Ronald Buendia"/>
    <x v="0"/>
    <d v="2020-07-21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7-21T00:00:00"/>
    <n v="0"/>
    <m/>
    <n v="5.0000000000000001E-4"/>
    <m/>
    <m/>
    <m/>
    <s v="Cerrado"/>
  </r>
  <r>
    <n v="18"/>
    <s v="Implementación RAN"/>
    <s v="SNC-018"/>
    <x v="2"/>
    <s v="0132221_IC_Chavalina"/>
    <s v="Rodolfo Barreto"/>
    <x v="5"/>
    <d v="2020-07-04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7-07T00:00:00"/>
    <n v="3"/>
    <n v="5739.26"/>
    <n v="5.0000000000000001E-4"/>
    <n v="60"/>
    <n v="172.17779999999999"/>
    <n v="5567.0821999999998"/>
    <s v="Cerrado"/>
  </r>
  <r>
    <n v="19"/>
    <s v="Implementación RAN"/>
    <s v="SNC-019"/>
    <x v="6"/>
    <s v="0132522_LH_Ripan"/>
    <s v="Ronald Buendia"/>
    <x v="6"/>
    <d v="2020-07-24T00:00:00"/>
    <s v="Cumplimiento en tiempo y calidad de entregables"/>
    <s v="Macro"/>
    <s v="Penalidad Macro"/>
    <s v="SNC_PROV_02"/>
    <s v="Incumplimiento del tiempo de entrega de los Entregables y/o no coinciden con el trabajo realizado."/>
    <x v="1"/>
    <s v="NC, penalidad, reasignación, veto"/>
    <s v="Coordinador del proyecto"/>
    <s v="0.5% del precio total por el servicio de  implementación asignado."/>
    <d v="2020-07-24T00:00:00"/>
    <n v="0"/>
    <n v="12824.35"/>
    <n v="5.0000000000000001E-3"/>
    <n v="40"/>
    <n v="2564.8700000000003"/>
    <n v="10259.48"/>
    <m/>
  </r>
  <r>
    <n v="20"/>
    <s v="Implementación RAN"/>
    <s v="SNC-020"/>
    <x v="5"/>
    <s v="0130606_LI_El_Alambre"/>
    <s v="Ronald Buendia"/>
    <x v="0"/>
    <d v="2020-07-26T00:00:00"/>
    <s v="Preservación y custodia de equipos/activos"/>
    <s v="Macro"/>
    <s v="Penalidad Macro"/>
    <s v="SNC_PROV_06"/>
    <s v="Daños a activos fijos o inmobiliarios en proceso de implementación"/>
    <x v="0"/>
    <s v="NC, penalidad, reasignación, veto"/>
    <s v="Coordinador del proyecto"/>
    <s v="Reposición completa por los daños ocasionados, en caso de reincidencia se cobraría multa del 1% del precio de la implementación en curso, más la reposición completa de  los daños. De registrarse  una tercera vez se analizara la continuidad de la contratista."/>
    <d v="2020-07-26T00:00:00"/>
    <n v="0"/>
    <m/>
    <n v="0"/>
    <m/>
    <n v="0"/>
    <n v="0"/>
    <m/>
  </r>
  <r>
    <n v="21"/>
    <s v="Implementación RAN"/>
    <s v="SNC-021"/>
    <x v="5"/>
    <s v="0134126_LI_Libertad"/>
    <s v="Ronald Buendia"/>
    <x v="0"/>
    <d v="2020-07-26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7-26T00:00:00"/>
    <n v="0"/>
    <m/>
    <n v="5.0000000000000001E-4"/>
    <m/>
    <n v="0"/>
    <n v="0"/>
    <m/>
  </r>
  <r>
    <n v="22"/>
    <s v="Implementación RAN"/>
    <s v="SNC-022"/>
    <x v="5"/>
    <s v="0136059_LM_Carlos_Anon"/>
    <s v="Ronald Buendia"/>
    <x v="0"/>
    <d v="2020-09-07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07T00:00:00"/>
    <n v="0"/>
    <m/>
    <n v="5.0000000000000001E-4"/>
    <m/>
    <n v="0"/>
    <n v="0"/>
    <m/>
  </r>
  <r>
    <n v="23"/>
    <s v="Implementación RAN"/>
    <s v="SNC-023"/>
    <x v="5"/>
    <s v="0130212_LM_PetroPeru"/>
    <s v="Ronald Buendia"/>
    <x v="0"/>
    <d v="2020-09-08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07T00:00:00"/>
    <n v="-1"/>
    <m/>
    <n v="5.0000000000000001E-4"/>
    <m/>
    <n v="0"/>
    <n v="0"/>
    <m/>
  </r>
  <r>
    <n v="24"/>
    <s v="Implementación RAN"/>
    <s v="SNC-024"/>
    <x v="5"/>
    <s v="0130042_LM_Cavenecia"/>
    <s v="Ronald Buendia"/>
    <x v="0"/>
    <d v="2020-09-16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07T00:00:00"/>
    <n v="-9"/>
    <m/>
    <n v="5.0000000000000001E-4"/>
    <m/>
    <n v="0"/>
    <n v="0"/>
    <m/>
  </r>
  <r>
    <n v="25"/>
    <s v="Implementación RAN"/>
    <s v="SNC-025"/>
    <x v="5"/>
    <s v="0130042_LM_Cavenecia"/>
    <s v="Ronald Buendia"/>
    <x v="0"/>
    <d v="2020-09-16T00:00:00"/>
    <s v="Cumplimiento de procedimientos de acceso"/>
    <s v="Macro"/>
    <s v="Penalidad Macro"/>
    <s v="SNC_PROV_04"/>
    <s v="Incumplimiento de procedimientos de acceso a sites de Entel."/>
    <x v="0"/>
    <s v="NC, penalidad, reasignación, veto"/>
    <s v="Coordinador del proyecto"/>
    <s v="5% del precio total del servicio de  implementación asignado. De registrarse una segunda vez esta misma deficiencia en dos meses de operación el % ascenderá a 10%, una tercera vez se analizará la continuidad de la contratista."/>
    <d v="2020-09-17T00:00:00"/>
    <n v="1"/>
    <m/>
    <n v="0.05"/>
    <m/>
    <n v="0"/>
    <n v="0"/>
    <m/>
  </r>
  <r>
    <n v="26"/>
    <s v="Implementación RAN"/>
    <s v="SNC-026"/>
    <x v="5"/>
    <s v="0130132_LM_Centro_Empresarial"/>
    <s v="Ronald Buendia"/>
    <x v="0"/>
    <d v="2020-09-16T00:00:00"/>
    <s v="Cumplimiento de procedimientos de acceso"/>
    <s v="Macro"/>
    <s v="Penalidad Macro"/>
    <s v="SNC_PROV_04"/>
    <s v="Incumplimiento de procedimientos de acceso a sites de Entel."/>
    <x v="0"/>
    <s v="NC, penalidad, reasignación, veto"/>
    <s v="Coordinador del proyecto"/>
    <s v="5% del precio total del servicio de  implementación asignado. De registrarse una segunda vez esta misma deficiencia en dos meses de operación el % ascenderá a 10%, una tercera vez se analizará la continuidad de la contratista."/>
    <d v="2020-09-17T00:00:00"/>
    <n v="1"/>
    <m/>
    <n v="0.05"/>
    <m/>
    <n v="0"/>
    <n v="0"/>
    <m/>
  </r>
  <r>
    <n v="27"/>
    <s v="Implementación RAN"/>
    <s v="SNC-027"/>
    <x v="5"/>
    <s v="0136039_LM_Antequera"/>
    <s v="Ronald Buendia"/>
    <x v="0"/>
    <d v="2020-09-16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24T00:00:00"/>
    <n v="8"/>
    <m/>
    <n v="5.0000000000000001E-4"/>
    <m/>
    <n v="0"/>
    <n v="0"/>
    <m/>
  </r>
  <r>
    <n v="28"/>
    <s v="Implementación RAN"/>
    <s v="SNC-028"/>
    <x v="5"/>
    <s v="0134644_LM_C_y_Moreyra_R1"/>
    <s v="Ronald Buendia"/>
    <x v="0"/>
    <d v="2020-09-19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30T00:00:00"/>
    <n v="11"/>
    <m/>
    <n v="5.0000000000000001E-4"/>
    <m/>
    <n v="0"/>
    <n v="0"/>
    <m/>
  </r>
  <r>
    <n v="29"/>
    <s v="Implementación RAN"/>
    <s v="SNC-029"/>
    <x v="5"/>
    <s v="0130131_LM_Parodi"/>
    <s v="Ronald Buendia"/>
    <x v="0"/>
    <d v="2020-09-14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30T00:00:00"/>
    <n v="16"/>
    <m/>
    <n v="5.0000000000000001E-4"/>
    <m/>
    <n v="0"/>
    <n v="0"/>
    <m/>
  </r>
  <r>
    <n v="30"/>
    <s v="Implementación RAN"/>
    <s v="SNC-030"/>
    <x v="5"/>
    <s v="0136038_LM_Peruval"/>
    <s v="Ronald Buendia"/>
    <x v="0"/>
    <d v="2020-09-30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30T00:00:00"/>
    <n v="0"/>
    <m/>
    <n v="5.0000000000000001E-4"/>
    <m/>
    <n v="0"/>
    <n v="0"/>
    <m/>
  </r>
  <r>
    <n v="31"/>
    <s v="Implementación RAN"/>
    <s v="SNC-031"/>
    <x v="5"/>
    <s v="0130025_LM_Arequipa_R1"/>
    <s v="Ronald Buendia"/>
    <x v="0"/>
    <d v="2020-10-01T00:00:00"/>
    <s v="Cumplimiento en las Intervenciones"/>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10-01T00:00:00"/>
    <n v="0"/>
    <m/>
    <n v="5.0000000000000001E-4"/>
    <m/>
    <n v="0"/>
    <n v="0"/>
    <m/>
  </r>
  <r>
    <n v="32"/>
    <s v="Implementación RAN"/>
    <s v="SNC-032"/>
    <x v="2"/>
    <s v="0130811_IC_Ocucaje"/>
    <s v="Paulo Vidal"/>
    <x v="0"/>
    <d v="2020-09-28T00:00:00"/>
    <s v="No se subsanó a tiempo el reporte SST y sanitario observado, debido a que los documentos SST adjuntos no correspondían a lo solicitado en la celda Matriz IPERC"/>
    <s v="Rev. Entregables y QA"/>
    <s v=""/>
    <s v="SNC_PROV_51"/>
    <s v="No hacer seguimiento a las contratas que tienen observaciones en la documentación presentada."/>
    <x v="2"/>
    <s v="NC, penalidad, reasignación, veto"/>
    <s v="Coordinador responsable del servicio"/>
    <s v="3% del monto facturado por el servicio brindado en el mes (monto de Orden de Compra) en que se cometió el incumplimiento."/>
    <s v="Pendiente"/>
    <e v="#VALUE!"/>
    <m/>
    <n v="0.03"/>
    <n v="1"/>
    <n v="0"/>
    <n v="0"/>
    <m/>
  </r>
  <r>
    <n v="33"/>
    <s v="Implementación RAN"/>
    <s v="SNC-033"/>
    <x v="2"/>
    <s v="0131029_LA_Santa_Rosa_Lamb"/>
    <s v="Paulo Vidal"/>
    <x v="0"/>
    <d v="2020-09-28T00:00:00"/>
    <s v="No se cargó el reporte SST y sanitario."/>
    <s v="SST"/>
    <s v="Penalidad SST"/>
    <s v="SNC_PROV_SST_16"/>
    <s v="El incumplimiento de las obligaciones de implementar y mantener actualizados los registros o disponer de la documentación que exigen las disposiciones legales vigentes relacionadas con la SST y aquellas que ENTEL disponga."/>
    <x v="3"/>
    <s v="NC, penalidad, reasignación, veto"/>
    <s v="Coordinador del proyecto "/>
    <n v="0.1"/>
    <s v="Pendiente"/>
    <e v="#VALUE!"/>
    <m/>
    <n v="0.1"/>
    <n v="1"/>
    <n v="0"/>
    <n v="0"/>
    <m/>
  </r>
  <r>
    <n v="34"/>
    <s v="Implementación RAN"/>
    <s v="SNC-034"/>
    <x v="2"/>
    <s v="0130276_LM_Manuel_Prado"/>
    <s v="Paulo Vidal"/>
    <x v="3"/>
    <d v="2020-09-29T00:00:00"/>
    <s v="Se cargo el reporte SST y sanitario, fuera de hora."/>
    <s v="SST"/>
    <s v="Penalidad SST"/>
    <s v="SNC_PROV_SST_16"/>
    <s v="El incumplimiento de las obligaciones de implementar y mantener actualizados los registros o disponer de la documentación que exigen las disposiciones legales vigentes relacionadas con la SST y aquellas que ENTEL disponga."/>
    <x v="3"/>
    <s v="NC, penalidad, reasignación, veto"/>
    <s v="Coordinador del proyecto "/>
    <n v="0.1"/>
    <s v="Pendiente"/>
    <e v="#VALUE!"/>
    <m/>
    <n v="0.1"/>
    <n v="1"/>
    <n v="0"/>
    <n v="0"/>
    <m/>
  </r>
  <r>
    <n v="35"/>
    <s v="Implementación RAN"/>
    <s v="SNC-035"/>
    <x v="2"/>
    <s v="0131029_LA_Santa_Rosa_Lamb"/>
    <s v="Paulo Vidal"/>
    <x v="0"/>
    <d v="2020-10-01T00:00:00"/>
    <s v="No se subsanó a tiempo el reporte SST y sanitario, observado debido a que los documentos SST y las fotos adjuntos no correspondían a lo solicitado en la celda Formato de Checklist de Herramientas."/>
    <s v="Rev. Entregables y QA"/>
    <s v=""/>
    <s v="SNC_PROV_51"/>
    <s v="No hacer seguimiento a las contratas que tienen observaciones en la documentación presentada."/>
    <x v="2"/>
    <s v="NC, penalidad, reasignación, veto"/>
    <s v="Coordinador responsable del servicio"/>
    <s v="3% del monto facturado por el servicio brindado en el mes (monto de Orden de Compra) en que se cometió el incumplimiento."/>
    <s v="Pendiente"/>
    <e v="#VALUE!"/>
    <m/>
    <n v="0.03"/>
    <n v="1"/>
    <n v="0"/>
    <n v="0"/>
    <m/>
  </r>
  <r>
    <n v="36"/>
    <s v="Implementación RAN"/>
    <s v="SNC-036"/>
    <x v="2"/>
    <s v="0132402_CA_Estadio_Jaen"/>
    <s v="Paulo Vidal"/>
    <x v="7"/>
    <d v="2020-10-03T00:00:00"/>
    <s v="Los documentos SST y las fotos adjuntas no corresponden a lo solicitado en la celdas del reporte SST y sanitario."/>
    <s v="Rev. Entregables y QA"/>
    <s v=""/>
    <s v="SNC_PROV_51"/>
    <s v="No hacer seguimiento a las contratas que tienen observaciones en la documentación presentada."/>
    <x v="2"/>
    <s v="NC, penalidad, reasignación, veto"/>
    <s v="Coordinador responsable del servicio"/>
    <s v="3% del monto facturado por el servicio brindado en el mes (monto de Orden de Compra) en que se cometió el incumplimiento."/>
    <s v="Pendiente"/>
    <e v="#VALUE!"/>
    <m/>
    <n v="0.03"/>
    <n v="1"/>
    <n v="0"/>
    <n v="0"/>
    <m/>
  </r>
  <r>
    <n v="37"/>
    <s v="Implementación RAN"/>
    <s v="SNC-037"/>
    <x v="2"/>
    <s v="0130382_LM_Medio_Mundo"/>
    <s v="Paulo Vidal"/>
    <x v="7"/>
    <d v="2020-10-01T00:00:00"/>
    <s v="No tenian ningun documento de seguridad en el sitio, objetando que lo tiene en la movilidad por ser un cerro"/>
    <s v="SST"/>
    <s v="Penalidad SST"/>
    <s v="SNC_PROV_SST_05"/>
    <s v="El incumplimiento de las obligaciones establecidas en las disposiciones relacionadas con la SST, en materia de coordinación entre empresas que desarrollen actividades en un mismo centro de trabajo, cuando se trate de actividades calificadas de alto riesgo."/>
    <x v="1"/>
    <s v="NC, penalidad, reasignación, veto"/>
    <s v="Coordinador del proyecto "/>
    <n v="0.15"/>
    <m/>
    <n v="-44105"/>
    <m/>
    <n v="0.15"/>
    <n v="1"/>
    <n v="0"/>
    <n v="0"/>
    <m/>
  </r>
  <r>
    <n v="38"/>
    <s v="Implementación RAN"/>
    <s v="SNC-038"/>
    <x v="4"/>
    <s v="0134420_CP_Huariaca"/>
    <s v="Paulo Vidal"/>
    <x v="1"/>
    <d v="2020-10-02T00:00:00"/>
    <s v="Team Leader se encontró trabajando en torre."/>
    <s v="SST"/>
    <s v="Penalidad SST"/>
    <s v="SNC_PROV_SST_05"/>
    <s v="El incumplimiento de las obligaciones establecidas en las disposiciones relacionadas con la SST, en materia de coordinación entre empresas que desarrollen actividades en un mismo centro de trabajo, cuando se trate de actividades calificadas de alto riesgo."/>
    <x v="1"/>
    <s v="NC, penalidad, reasignación, veto"/>
    <s v="Coordinador del proyecto "/>
    <n v="0.15"/>
    <m/>
    <n v="-44106"/>
    <m/>
    <n v="0.15"/>
    <n v="1"/>
    <n v="0"/>
    <n v="0"/>
    <m/>
  </r>
  <r>
    <n v="39"/>
    <s v="Implementación RAN"/>
    <s v="SNC-039"/>
    <x v="2"/>
    <s v="0130843_IC_Caleta_San_Andres"/>
    <s v="Paulo Vidal"/>
    <x v="0"/>
    <d v="2020-10-07T00:00:00"/>
    <s v="Los documentos SST (formatos check list para herramientas y registro de entrega de EPPs) tienen errores,  fecha pasada y formato incorrecto."/>
    <s v="Rev. Entregables y QA"/>
    <s v=""/>
    <s v="SNC_PROV_51"/>
    <s v="No hacer seguimiento a las contratas que tienen observaciones en la documentación presentada."/>
    <x v="2"/>
    <s v="NC, penalidad, reasignación, veto"/>
    <s v="Coordinador responsable del servicio"/>
    <s v="3% del monto facturado por el servicio brindado en el mes (monto de Orden de Compra) en que se cometió el incumplimiento."/>
    <m/>
    <n v="-44111"/>
    <m/>
    <n v="0.03"/>
    <m/>
    <m/>
    <m/>
    <m/>
  </r>
  <r>
    <n v="40"/>
    <s v="Implementación RAN"/>
    <s v="SNC-040"/>
    <x v="2"/>
    <s v="0130385_LM_Barranca"/>
    <s v="Rodolfo Barreto"/>
    <x v="8"/>
    <d v="2020-09-13T00:00:00"/>
    <s v="Accidente de trabajo. Caida de personal de Torre"/>
    <s v="SST"/>
    <s v="Penalidad SST"/>
    <s v="SNC_PROV_SST_04"/>
    <s v="No adoptar las medidas preventivas aplicables a las condiciones de trabajo de los que se derive un riesgo grave e inminente para la seguridad de los trabajadores."/>
    <x v="1"/>
    <s v="NC, penalidad, reasignación, veto"/>
    <s v="Coordinador del proyecto "/>
    <n v="0.15"/>
    <m/>
    <n v="-44087"/>
    <m/>
    <n v="0.15"/>
    <m/>
    <m/>
    <m/>
    <m/>
  </r>
  <r>
    <n v="41"/>
    <s v="Implementación RAN"/>
    <s v="SNC-041"/>
    <x v="2"/>
    <s v="0130385_LM_Barranca"/>
    <s v="Rodolfo Barreto"/>
    <x v="8"/>
    <d v="2020-09-13T00:00:00"/>
    <s v="Accidente de trabajo. Caida de personal de Torre"/>
    <s v="SST"/>
    <s v="Penalidad SST"/>
    <s v="SNC_PROV_SST_16"/>
    <s v="El incumplimiento de las obligaciones de implementar y mantener actualizados los registros o disponer de la documentación que exigen las disposiciones legales vigentes relacionadas con la SST y aquellas que ENTEL disponga."/>
    <x v="3"/>
    <s v="NC, penalidad, reasignación, veto"/>
    <s v="Coordinador del proyecto "/>
    <n v="0.1"/>
    <m/>
    <n v="-44087"/>
    <m/>
    <n v="0.1"/>
    <m/>
    <m/>
    <m/>
    <m/>
  </r>
  <r>
    <n v="42"/>
    <s v="Implementación RAN"/>
    <s v="SNC-042"/>
    <x v="2"/>
    <s v="0131029_LA_Santa_Rosa_Lamb"/>
    <s v="Paulo Vidal"/>
    <x v="0"/>
    <d v="2020-10-16T00:00:00"/>
    <s v="No se encontró Extintor"/>
    <s v="SST"/>
    <s v="Penalidad SST"/>
    <s v="SNC_PROV_SST_04"/>
    <s v="No adoptar las medidas preventivas aplicables a las condiciones de trabajo de los que se derive un riesgo grave e inminente para la seguridad de los trabajadores."/>
    <x v="1"/>
    <s v="NC, penalidad, reasignación, veto"/>
    <s v="Coordinador del proyecto "/>
    <n v="0.15"/>
    <m/>
    <n v="-44120"/>
    <m/>
    <m/>
    <m/>
    <m/>
    <m/>
    <m/>
  </r>
  <r>
    <n v="43"/>
    <s v="Implementación RAN"/>
    <s v="SNC-043"/>
    <x v="2"/>
    <s v="0133940_PN_Vitupata_R1"/>
    <s v="Paulo Vidal"/>
    <x v="5"/>
    <d v="2020-10-16T00:00:00"/>
    <s v="Team leader se encontró trabajando en torre y al bajar dejo la linea de vida olvidada._x000a_Adicionalmente, no contaban con extintor."/>
    <s v="SST"/>
    <s v="Penalidad SST"/>
    <s v="SNC_PROV_SST_10"/>
    <s v="No contar con un Ingeniero de SST durante la ejecución del servicio"/>
    <x v="1"/>
    <s v="NC, penalidad, reasignación, veto"/>
    <s v="Coordinador del proyecto "/>
    <n v="0.15"/>
    <m/>
    <n v="-44120"/>
    <m/>
    <m/>
    <m/>
    <m/>
    <m/>
    <m/>
  </r>
  <r>
    <n v="44"/>
    <s v="Implementación RAN"/>
    <s v="SNC-044"/>
    <x v="2"/>
    <s v="0130843_IC_Caleta_San_Andres"/>
    <s v="Paulo Vidal"/>
    <x v="0"/>
    <d v="2020-10-16T00:00:00"/>
    <s v=" Team Leader se encontró trabajando en torre._x000a_El tecnico evidenció que no tiene claro los procedimientos ante un caso de emergencia."/>
    <s v="SST"/>
    <s v="Penalidad SST"/>
    <s v="SNC_PROV_SST_10"/>
    <s v="No contar con un Ingeniero de SST durante la ejecución del servicio"/>
    <x v="1"/>
    <s v="NC, penalidad, reasignación, veto"/>
    <s v="Coordinador del proyecto "/>
    <n v="0.15"/>
    <m/>
    <n v="-44120"/>
    <m/>
    <m/>
    <m/>
    <m/>
    <m/>
    <m/>
  </r>
  <r>
    <n v="45"/>
    <s v="Implementación RAN"/>
    <s v="SNC-045"/>
    <x v="7"/>
    <s v="0130056_LM_Santa_Beatriz"/>
    <s v="Paulo Vidal"/>
    <x v="3"/>
    <d v="2020-10-16T00:00:00"/>
    <s v="No contaban con extintor ni botiquin"/>
    <s v="SST"/>
    <s v="Penalidad SST"/>
    <s v="SNC_PROV_SST_04"/>
    <s v="No adoptar las medidas preventivas aplicables a las condiciones de trabajo de los que se derive un riesgo grave e inminente para la seguridad de los trabajadores."/>
    <x v="1"/>
    <s v="NC, penalidad, reasignación, veto"/>
    <s v="Coordinador del proyecto "/>
    <n v="0.15"/>
    <m/>
    <n v="-44120"/>
    <m/>
    <m/>
    <m/>
    <m/>
    <m/>
    <m/>
  </r>
  <r>
    <n v="46"/>
    <s v="Implementación RAN"/>
    <s v="SNC-046"/>
    <x v="2"/>
    <s v="0130386_LM_Huaura"/>
    <s v="Paulo Vidal"/>
    <x v="3"/>
    <d v="2020-10-16T00:00:00"/>
    <s v="No contaban con extintor en sitio."/>
    <s v="SST"/>
    <s v="Penalidad SST"/>
    <s v="SNC_PROV_SST_04"/>
    <s v="No adoptar las medidas preventivas aplicables a las condiciones de trabajo de los que se derive un riesgo grave e inminente para la seguridad de los trabajadores."/>
    <x v="1"/>
    <s v="NC, penalidad, reasignación, veto"/>
    <s v="Coordinador del proyecto "/>
    <n v="0.15"/>
    <m/>
    <n v="-44120"/>
    <m/>
    <m/>
    <m/>
    <m/>
    <m/>
    <m/>
  </r>
  <r>
    <n v="47"/>
    <s v="Implementación RAN"/>
    <s v="SNC-047"/>
    <x v="2"/>
    <s v="0130824_IC_Pisco_Centro"/>
    <s v="Paulo Vidal"/>
    <x v="7"/>
    <d v="2020-10-16T00:00:00"/>
    <s v="No contaban con extintor ni botiquin"/>
    <s v="SST"/>
    <s v="Penalidad SST"/>
    <s v="SNC_PROV_SST_04"/>
    <s v="No adoptar las medidas preventivas aplicables a las condiciones de trabajo de los que se derive un riesgo grave e inminente para la seguridad de los trabajadores."/>
    <x v="1"/>
    <s v="NC, penalidad, reasignación, veto"/>
    <s v="Coordinador del proyecto "/>
    <n v="0.15"/>
    <m/>
    <n v="-44120"/>
    <m/>
    <m/>
    <m/>
    <m/>
    <m/>
    <m/>
  </r>
  <r>
    <n v="48"/>
    <s v="Implementación RAN"/>
    <s v="SNC-048"/>
    <x v="2"/>
    <s v="PI_Paredes_Maceda-S3"/>
    <s v="Rodolfo Barreto"/>
    <x v="0"/>
    <d v="2020-09-04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04T00:00:00"/>
    <n v="0"/>
    <n v="5985.26"/>
    <n v="5.0000000000000001E-4"/>
    <n v="115"/>
    <n v="344.15245000000004"/>
    <n v="5641.1075500000006"/>
    <s v="Cerrado"/>
  </r>
  <r>
    <n v="49"/>
    <s v="Implementación RAN"/>
    <s v="SNC-049"/>
    <x v="2"/>
    <s v="AQ_Alto_Cayma-S1"/>
    <s v="Rodolfo Barreto"/>
    <x v="9"/>
    <d v="2020-09-11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11T00:00:00"/>
    <n v="0"/>
    <n v="7059.5"/>
    <n v="5.0000000000000001E-4"/>
    <n v="115"/>
    <n v="405.92125000000004"/>
    <n v="6653.5787499999997"/>
    <s v="Cerrado"/>
  </r>
  <r>
    <n v="50"/>
    <s v="Implementación RAN"/>
    <s v="SNC-050"/>
    <x v="2"/>
    <s v="PI_Catacaos-S3"/>
    <s v="Rodolfo Barreto"/>
    <x v="7"/>
    <d v="2020-09-10T00:00:00"/>
    <s v="Afectacion de Servicio no programada, sin MOP de afectacion para el trabajo a realizar."/>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10T00:00:00"/>
    <n v="0"/>
    <n v="5739.26"/>
    <n v="5.0000000000000001E-4"/>
    <n v="115"/>
    <n v="330.00745000000001"/>
    <n v="5409.2525500000002"/>
    <s v="Cerrado"/>
  </r>
  <r>
    <n v="51"/>
    <s v="Implementación RAN"/>
    <s v="SNC-051"/>
    <x v="2"/>
    <s v="134528_LM_Vilcahuaura-S2"/>
    <s v="Rodolfo Barreto"/>
    <x v="10"/>
    <d v="2020-09-14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14T00:00:00"/>
    <n v="0"/>
    <n v="5739.26"/>
    <n v="5.0000000000000001E-4"/>
    <n v="115"/>
    <n v="330.00745000000001"/>
    <n v="5409.2525500000002"/>
    <s v="Cerrado"/>
  </r>
  <r>
    <n v="52"/>
    <s v="Implementación RAN"/>
    <s v="SNC-052"/>
    <x v="2"/>
    <s v="PI_Chulucanas-S1"/>
    <s v="Rodolfo Barreto"/>
    <x v="11"/>
    <d v="2020-09-27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09-27T00:00:00"/>
    <n v="0"/>
    <n v="5719.46"/>
    <n v="5.0000000000000001E-4"/>
    <n v="115"/>
    <n v="328.86895000000004"/>
    <n v="5390.59105"/>
    <s v="Cerrado"/>
  </r>
  <r>
    <n v="53"/>
    <s v="Implementación RAN"/>
    <s v="SNC-053"/>
    <x v="2"/>
    <s v="0131736_PI_Cerezal"/>
    <s v="Rodolfo Barreto"/>
    <x v="6"/>
    <d v="2020-10-10T00:00:00"/>
    <s v="Afectacion de Servicio no programada."/>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10-10T00:00:00"/>
    <n v="0"/>
    <n v="5739.26"/>
    <n v="5.0000000000000001E-4"/>
    <n v="0"/>
    <n v="0"/>
    <n v="5739.26"/>
    <s v="Cerrado"/>
  </r>
  <r>
    <n v="54"/>
    <s v="Implementación RAN"/>
    <s v="SNC-054"/>
    <x v="2"/>
    <s v="0130386_LM_Huaura"/>
    <s v="Rodolfo Barreto"/>
    <x v="3"/>
    <d v="2020-10-14T00:00:00"/>
    <s v="Afectacion de Servicio no programada."/>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10-14T00:00:00"/>
    <n v="0"/>
    <n v="5739.26"/>
    <n v="5.0000000000000001E-4"/>
    <n v="42"/>
    <n v="120.52446000000002"/>
    <n v="5618.7355400000006"/>
    <s v="Cerrado"/>
  </r>
  <r>
    <n v="55"/>
    <s v="Implementación RAN"/>
    <s v="SNC-055"/>
    <x v="2"/>
    <s v="0130382_LM_Medio_Mundo"/>
    <s v="Rodolfo Barreto"/>
    <x v="7"/>
    <d v="2020-10-01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10-01T00:00:00"/>
    <n v="0"/>
    <n v="5739.26"/>
    <n v="5.0000000000000001E-4"/>
    <n v="0"/>
    <n v="0"/>
    <n v="0"/>
    <s v="Cerrado"/>
  </r>
  <r>
    <n v="56"/>
    <s v="Implementación RAN"/>
    <s v="SNC-056"/>
    <x v="2"/>
    <s v="0130824_IC_Pisco_Centro"/>
    <s v="Rodolfo Barreto"/>
    <x v="7"/>
    <d v="2020-10-15T00:00:00"/>
    <s v="Afectacion de Servicio Fuera de Ventana Mantenimiento"/>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10-15T00:00:00"/>
    <n v="0"/>
    <n v="5739.26"/>
    <n v="5.0000000000000001E-4"/>
    <n v="34"/>
    <n v="97.567420000000013"/>
    <n v="5641.6925799999999"/>
    <s v="Cerrado"/>
  </r>
  <r>
    <n v="57"/>
    <s v="Implementación RAN"/>
    <s v="SNC-057"/>
    <x v="2"/>
    <s v="0130529_LM_Diciembre_11"/>
    <s v="Rodolfo Barreto"/>
    <x v="11"/>
    <d v="2020-10-15T00:00:00"/>
    <s v="Afectacion de Servicio no programada."/>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d v="2020-10-15T00:00:00"/>
    <n v="0"/>
    <n v="5739.26"/>
    <n v="5.0000000000000001E-4"/>
    <n v="51"/>
    <n v="146.35113000000001"/>
    <n v="5592.9088700000002"/>
    <s v="Cerrado"/>
  </r>
  <r>
    <n v="58"/>
    <s v="Implementación RAN"/>
    <s v="SNC-058"/>
    <x v="5"/>
    <s v="0130025_LM_Arequipa_R1"/>
    <s v="Ronald Buendia"/>
    <x v="0"/>
    <d v="2020-10-22T00:00:00"/>
    <s v="Afectación de Servicio fuera del Rango de Afectación."/>
    <s v="Macro"/>
    <s v="Penalidad Macro"/>
    <s v="SNC_PROV_05"/>
    <s v="Afectación comprobada de servicios que no fueron contemplados en la MOP, por errores de procedimientos de implementación de nodo.      ( se consideran afectaciones, los trabajos realizados  fuera de los horarios registrados en la MOP)"/>
    <x v="0"/>
    <s v="NC, penalidad, reasignación, veto"/>
    <s v="Coordinador del proyecto"/>
    <s v="0.05% del precio de la implementación en curso asignado, cuantificando por minuto como factor de cada elemento de red afectado. (#Servicios * 0.05% del costo de implementación * por minutos de afectación) (Con un máximo de 20% dependiendo de la criticidad del sitio implementado). De registrarse una segunda vez esta misma deficiencia en dos meses de operación el % ascenderá a 0.5%, una tercera vez se analizará la continuidad de la contratista."/>
    <m/>
    <n v="-44126"/>
    <m/>
    <m/>
    <m/>
    <m/>
    <m/>
    <m/>
  </r>
  <r>
    <n v="59"/>
    <s v="Implementación RAN"/>
    <s v="SNC-059"/>
    <x v="2"/>
    <s v="0132758_LM_Villa_Industrial_R1"/>
    <s v="Paulo Vidal"/>
    <x v="0"/>
    <d v="2020-10-15T00:00:00"/>
    <s v="Se evidencia en el reporte sst y sanitario que solo hay 02 personas en sitio a pesar de ser un trabajo de adecuación, adicional a ello falta foto del kit de protección, credenciales y toma de temperatura y declaración jurada solo hay de 01 personal."/>
    <s v="Rev. Entregables y QA"/>
    <s v=""/>
    <s v="SNC_PROV_51"/>
    <s v="No hacer seguimiento a las contratas que tienen observaciones en la documentación presentada."/>
    <x v="2"/>
    <s v="NC, penalidad, reasignación, veto"/>
    <s v="Coordinador responsable del servicio"/>
    <s v="3% del monto facturado por el servicio brindado en el mes (monto de Orden de Compra) en que se cometió el incumplimiento."/>
    <m/>
    <n v="-44119"/>
    <m/>
    <m/>
    <m/>
    <m/>
    <m/>
    <m/>
  </r>
  <r>
    <n v="60"/>
    <s v="Implementación RAN"/>
    <s v="SNC-060"/>
    <x v="2"/>
    <s v="0133789_PI_Cow_Fundo_Rapel"/>
    <s v="Paulo Vidal"/>
    <x v="7"/>
    <d v="2020-10-16T00:00:00"/>
    <s v="En el reporte SST y sanitario, el formato SST está incompleto ( falta el formato de inspección de arnés de 01 personal)."/>
    <s v="Rev. Entregables y QA"/>
    <s v=""/>
    <s v="SNC_PROV_51"/>
    <s v="No hacer seguimiento a las contratas que tienen observaciones en la documentación presentada."/>
    <x v="2"/>
    <s v="NC, penalidad, reasignación, veto"/>
    <s v="Coordinador responsable del servicio"/>
    <s v="3% del monto facturado por el servicio brindado en el mes (monto de Orden de Compra) en que se cometió el incumplimiento."/>
    <m/>
    <n v="-44120"/>
    <m/>
    <m/>
    <m/>
    <m/>
    <m/>
    <m/>
  </r>
  <r>
    <n v="61"/>
    <s v="Implementación RAN"/>
    <s v="SNC-061"/>
    <x v="2"/>
    <s v="0133288_PI_Cow_Rapel"/>
    <s v="Paulo Vidal"/>
    <x v="7"/>
    <d v="2020-10-16T00:00:00"/>
    <s v="En el reporte SST y sanitario, los formatos SST están incompletos (falta formato de registro de entrega de EPP y el formato de inspección de arnés de 01 persona)"/>
    <s v="Rev. Entregables y QA"/>
    <s v=""/>
    <s v="SNC_PROV_51"/>
    <s v="No hacer seguimiento a las contratas que tienen observaciones en la documentación presentada."/>
    <x v="2"/>
    <s v="NC, penalidad, reasignación, veto"/>
    <s v="Coordinador responsable del servicio"/>
    <s v="3% del monto facturado por el servicio brindado en el mes (monto de Orden de Compra) en que se cometió el incumplimiento."/>
    <m/>
    <n v="-44120"/>
    <m/>
    <m/>
    <m/>
    <m/>
    <m/>
    <m/>
  </r>
  <r>
    <n v="62"/>
    <s v="Implementación RAN"/>
    <s v="SNC-062"/>
    <x v="1"/>
    <s v="010351071_UY_Noe_Fachin"/>
    <s v="Paulo Vidal"/>
    <x v="2"/>
    <d v="2020-10-13T00:00:00"/>
    <s v="En el reporte sst y sanitario no indicaron quien es prevencionista, foto de la desinfección de las herramientas es incorrecta y falta la declaración jurada de 01 personal de campo."/>
    <s v="Rev. Entregables y QA"/>
    <s v=""/>
    <s v="SNC_PROV_51"/>
    <s v="No hacer seguimiento a las contratas que tienen observaciones en la documentación presentada."/>
    <x v="2"/>
    <s v="NC, penalidad, reasignación, veto"/>
    <s v="Coordinador responsable del servicio"/>
    <s v="3% del monto facturado por el servicio brindado en el mes (monto de Orden de Compra) en que se cometió el incumplimiento."/>
    <m/>
    <n v="-44117"/>
    <m/>
    <m/>
    <m/>
    <m/>
    <m/>
    <m/>
  </r>
  <r>
    <n v="63"/>
    <s v="Implementación RAN"/>
    <s v="SNC-063"/>
    <x v="2"/>
    <s v="0134435_CP_Paragsha"/>
    <s v="Paulo Vidal"/>
    <x v="2"/>
    <d v="2020-10-15T00:00:00"/>
    <s v="Falta un documento SST en el reporte SST y sanitario (no figura la charla de 5 minutos)."/>
    <s v="Rev. Entregables y QA"/>
    <s v=""/>
    <s v="SNC_PROV_51"/>
    <s v="No hacer seguimiento a las contratas que tienen observaciones en la documentación presentada."/>
    <x v="2"/>
    <s v="NC, penalidad, reasignación, veto"/>
    <s v="Coordinador responsable del servicio"/>
    <s v="3% del monto facturado por el servicio brindado en el mes (monto de Orden de Compra) en que se cometió el incumplimiento."/>
    <m/>
    <n v="-44119"/>
    <m/>
    <m/>
    <m/>
    <m/>
    <m/>
    <m/>
  </r>
  <r>
    <n v="64"/>
    <s v="Implementación RAN"/>
    <s v="SNC-064"/>
    <x v="8"/>
    <m/>
    <m/>
    <x v="12"/>
    <m/>
    <m/>
    <m/>
    <s v=""/>
    <m/>
    <s v=""/>
    <x v="4"/>
    <s v=""/>
    <s v=""/>
    <s v=""/>
    <m/>
    <n v="0"/>
    <m/>
    <m/>
    <m/>
    <m/>
    <m/>
    <m/>
  </r>
  <r>
    <n v="65"/>
    <s v="Implementación RAN"/>
    <s v="SNC-065"/>
    <x v="8"/>
    <m/>
    <m/>
    <x v="12"/>
    <m/>
    <m/>
    <m/>
    <s v=""/>
    <m/>
    <s v=""/>
    <x v="4"/>
    <s v=""/>
    <s v=""/>
    <s v=""/>
    <m/>
    <n v="0"/>
    <m/>
    <m/>
    <m/>
    <m/>
    <m/>
    <m/>
  </r>
  <r>
    <n v="66"/>
    <s v="Implementación RAN"/>
    <s v="SNC-066"/>
    <x v="8"/>
    <m/>
    <m/>
    <x v="12"/>
    <m/>
    <m/>
    <m/>
    <s v=""/>
    <m/>
    <s v=""/>
    <x v="4"/>
    <s v=""/>
    <s v=""/>
    <s v=""/>
    <m/>
    <n v="0"/>
    <m/>
    <m/>
    <m/>
    <m/>
    <m/>
    <m/>
  </r>
  <r>
    <n v="67"/>
    <s v="Implementación RAN"/>
    <s v="SNC-067"/>
    <x v="8"/>
    <m/>
    <m/>
    <x v="12"/>
    <m/>
    <m/>
    <m/>
    <s v=""/>
    <m/>
    <s v=""/>
    <x v="4"/>
    <s v=""/>
    <s v=""/>
    <s v=""/>
    <m/>
    <n v="0"/>
    <m/>
    <m/>
    <m/>
    <m/>
    <m/>
    <m/>
  </r>
  <r>
    <n v="68"/>
    <s v="Implementación RAN"/>
    <s v="SNC-068"/>
    <x v="8"/>
    <m/>
    <m/>
    <x v="12"/>
    <m/>
    <m/>
    <m/>
    <s v=""/>
    <m/>
    <s v=""/>
    <x v="4"/>
    <s v=""/>
    <s v=""/>
    <s v=""/>
    <m/>
    <n v="0"/>
    <m/>
    <m/>
    <m/>
    <m/>
    <m/>
    <m/>
  </r>
  <r>
    <n v="69"/>
    <s v="Implementación RAN"/>
    <s v="SNC-069"/>
    <x v="8"/>
    <m/>
    <m/>
    <x v="12"/>
    <m/>
    <m/>
    <m/>
    <s v=""/>
    <m/>
    <s v=""/>
    <x v="4"/>
    <s v=""/>
    <s v=""/>
    <s v=""/>
    <m/>
    <n v="0"/>
    <m/>
    <m/>
    <m/>
    <m/>
    <m/>
    <m/>
  </r>
  <r>
    <n v="70"/>
    <s v="Implementación RAN"/>
    <s v="SNC-070"/>
    <x v="8"/>
    <m/>
    <m/>
    <x v="12"/>
    <m/>
    <m/>
    <m/>
    <s v=""/>
    <m/>
    <s v=""/>
    <x v="4"/>
    <s v=""/>
    <s v=""/>
    <s v=""/>
    <m/>
    <n v="0"/>
    <m/>
    <m/>
    <m/>
    <m/>
    <m/>
    <m/>
  </r>
  <r>
    <n v="71"/>
    <s v="Implementación RAN"/>
    <s v="SNC-071"/>
    <x v="8"/>
    <m/>
    <m/>
    <x v="12"/>
    <m/>
    <m/>
    <m/>
    <s v=""/>
    <m/>
    <s v=""/>
    <x v="4"/>
    <s v=""/>
    <s v=""/>
    <s v=""/>
    <m/>
    <n v="0"/>
    <m/>
    <m/>
    <m/>
    <m/>
    <m/>
    <m/>
  </r>
  <r>
    <n v="72"/>
    <s v="Implementación RAN"/>
    <s v="SNC-072"/>
    <x v="8"/>
    <m/>
    <m/>
    <x v="12"/>
    <m/>
    <m/>
    <m/>
    <s v=""/>
    <m/>
    <s v=""/>
    <x v="4"/>
    <s v=""/>
    <s v=""/>
    <s v=""/>
    <m/>
    <n v="0"/>
    <m/>
    <m/>
    <m/>
    <m/>
    <m/>
    <m/>
  </r>
  <r>
    <n v="73"/>
    <s v="Implementación RAN"/>
    <s v="SNC-073"/>
    <x v="8"/>
    <m/>
    <m/>
    <x v="12"/>
    <m/>
    <m/>
    <m/>
    <s v=""/>
    <m/>
    <s v=""/>
    <x v="4"/>
    <s v=""/>
    <s v=""/>
    <s v=""/>
    <m/>
    <n v="0"/>
    <m/>
    <m/>
    <m/>
    <m/>
    <m/>
    <m/>
  </r>
  <r>
    <n v="74"/>
    <s v="Implementación RAN"/>
    <s v="SNC-074"/>
    <x v="8"/>
    <m/>
    <m/>
    <x v="12"/>
    <m/>
    <m/>
    <m/>
    <s v=""/>
    <m/>
    <s v=""/>
    <x v="4"/>
    <s v=""/>
    <s v=""/>
    <s v=""/>
    <m/>
    <n v="0"/>
    <m/>
    <m/>
    <m/>
    <m/>
    <m/>
    <m/>
  </r>
  <r>
    <n v="75"/>
    <s v="Implementación RAN"/>
    <s v="SNC-075"/>
    <x v="8"/>
    <m/>
    <m/>
    <x v="12"/>
    <m/>
    <m/>
    <m/>
    <s v=""/>
    <m/>
    <s v=""/>
    <x v="4"/>
    <s v=""/>
    <s v=""/>
    <s v=""/>
    <m/>
    <n v="0"/>
    <m/>
    <m/>
    <m/>
    <m/>
    <m/>
    <m/>
  </r>
  <r>
    <n v="76"/>
    <s v="Implementación RAN"/>
    <s v="SNC-076"/>
    <x v="8"/>
    <m/>
    <m/>
    <x v="12"/>
    <m/>
    <m/>
    <m/>
    <s v=""/>
    <m/>
    <s v=""/>
    <x v="4"/>
    <s v=""/>
    <s v=""/>
    <s v=""/>
    <m/>
    <n v="0"/>
    <m/>
    <m/>
    <m/>
    <m/>
    <m/>
    <m/>
  </r>
  <r>
    <n v="77"/>
    <s v="Implementación RAN"/>
    <s v="SNC-077"/>
    <x v="8"/>
    <m/>
    <m/>
    <x v="12"/>
    <m/>
    <m/>
    <m/>
    <s v=""/>
    <m/>
    <s v=""/>
    <x v="4"/>
    <s v=""/>
    <s v=""/>
    <s v=""/>
    <m/>
    <n v="0"/>
    <m/>
    <m/>
    <m/>
    <m/>
    <m/>
    <m/>
  </r>
  <r>
    <n v="78"/>
    <s v="Implementación RAN"/>
    <s v="SNC-078"/>
    <x v="8"/>
    <m/>
    <m/>
    <x v="12"/>
    <m/>
    <m/>
    <m/>
    <s v=""/>
    <m/>
    <s v=""/>
    <x v="4"/>
    <s v=""/>
    <s v=""/>
    <s v=""/>
    <m/>
    <n v="0"/>
    <m/>
    <m/>
    <m/>
    <m/>
    <m/>
    <m/>
  </r>
  <r>
    <n v="79"/>
    <s v="Implementación RAN"/>
    <s v="SNC-079"/>
    <x v="8"/>
    <m/>
    <m/>
    <x v="12"/>
    <m/>
    <m/>
    <m/>
    <s v=""/>
    <m/>
    <s v=""/>
    <x v="4"/>
    <s v=""/>
    <s v=""/>
    <s v=""/>
    <m/>
    <n v="0"/>
    <m/>
    <m/>
    <m/>
    <m/>
    <m/>
    <m/>
  </r>
  <r>
    <n v="80"/>
    <s v="Implementación RAN"/>
    <s v="SNC-080"/>
    <x v="8"/>
    <m/>
    <m/>
    <x v="12"/>
    <m/>
    <m/>
    <m/>
    <s v=""/>
    <m/>
    <s v=""/>
    <x v="4"/>
    <s v=""/>
    <s v=""/>
    <s v=""/>
    <m/>
    <n v="0"/>
    <m/>
    <m/>
    <m/>
    <m/>
    <m/>
    <m/>
  </r>
  <r>
    <n v="81"/>
    <s v="Implementación RAN"/>
    <s v="SNC-081"/>
    <x v="8"/>
    <m/>
    <m/>
    <x v="12"/>
    <m/>
    <m/>
    <m/>
    <s v=""/>
    <m/>
    <s v=""/>
    <x v="4"/>
    <s v=""/>
    <s v=""/>
    <s v=""/>
    <m/>
    <n v="0"/>
    <m/>
    <m/>
    <m/>
    <m/>
    <m/>
    <m/>
  </r>
  <r>
    <n v="82"/>
    <s v="Implementación RAN"/>
    <s v="SNC-082"/>
    <x v="8"/>
    <m/>
    <m/>
    <x v="12"/>
    <m/>
    <m/>
    <m/>
    <s v=""/>
    <m/>
    <s v=""/>
    <x v="4"/>
    <s v=""/>
    <s v=""/>
    <s v=""/>
    <m/>
    <n v="0"/>
    <m/>
    <m/>
    <m/>
    <m/>
    <m/>
    <m/>
  </r>
  <r>
    <n v="83"/>
    <s v="Implementación RAN"/>
    <s v="SNC-083"/>
    <x v="8"/>
    <m/>
    <m/>
    <x v="12"/>
    <m/>
    <m/>
    <m/>
    <s v=""/>
    <m/>
    <s v=""/>
    <x v="4"/>
    <s v=""/>
    <s v=""/>
    <s v=""/>
    <m/>
    <n v="0"/>
    <m/>
    <m/>
    <m/>
    <m/>
    <m/>
    <m/>
  </r>
  <r>
    <n v="84"/>
    <s v="Implementación RAN"/>
    <s v="SNC-084"/>
    <x v="8"/>
    <m/>
    <m/>
    <x v="12"/>
    <m/>
    <m/>
    <m/>
    <s v=""/>
    <m/>
    <s v=""/>
    <x v="4"/>
    <s v=""/>
    <s v=""/>
    <s v=""/>
    <m/>
    <n v="0"/>
    <m/>
    <m/>
    <m/>
    <m/>
    <m/>
    <m/>
  </r>
  <r>
    <n v="85"/>
    <s v="Implementación RAN"/>
    <s v="SNC-085"/>
    <x v="8"/>
    <m/>
    <m/>
    <x v="12"/>
    <m/>
    <m/>
    <m/>
    <s v=""/>
    <m/>
    <s v=""/>
    <x v="4"/>
    <s v=""/>
    <s v=""/>
    <s v=""/>
    <m/>
    <n v="0"/>
    <m/>
    <m/>
    <m/>
    <m/>
    <m/>
    <m/>
  </r>
  <r>
    <n v="86"/>
    <s v="Implementación RAN"/>
    <s v="SNC-086"/>
    <x v="8"/>
    <m/>
    <m/>
    <x v="12"/>
    <m/>
    <m/>
    <m/>
    <s v=""/>
    <m/>
    <s v=""/>
    <x v="4"/>
    <s v=""/>
    <s v=""/>
    <s v=""/>
    <m/>
    <n v="0"/>
    <m/>
    <m/>
    <m/>
    <m/>
    <m/>
    <m/>
  </r>
  <r>
    <n v="87"/>
    <s v="Implementación RAN"/>
    <s v="SNC-087"/>
    <x v="8"/>
    <m/>
    <m/>
    <x v="12"/>
    <m/>
    <m/>
    <m/>
    <s v=""/>
    <m/>
    <s v=""/>
    <x v="4"/>
    <s v=""/>
    <s v=""/>
    <s v=""/>
    <m/>
    <n v="0"/>
    <m/>
    <m/>
    <m/>
    <m/>
    <m/>
    <m/>
  </r>
  <r>
    <n v="88"/>
    <s v="Implementación RAN"/>
    <s v="SNC-088"/>
    <x v="8"/>
    <m/>
    <m/>
    <x v="12"/>
    <m/>
    <m/>
    <m/>
    <s v=""/>
    <m/>
    <s v=""/>
    <x v="4"/>
    <s v=""/>
    <s v=""/>
    <s v=""/>
    <m/>
    <n v="0"/>
    <m/>
    <m/>
    <m/>
    <m/>
    <m/>
    <m/>
  </r>
  <r>
    <n v="89"/>
    <s v="Implementación RAN"/>
    <s v="SNC-089"/>
    <x v="8"/>
    <m/>
    <m/>
    <x v="12"/>
    <m/>
    <m/>
    <m/>
    <s v=""/>
    <m/>
    <s v=""/>
    <x v="4"/>
    <s v=""/>
    <s v=""/>
    <s v=""/>
    <m/>
    <n v="0"/>
    <m/>
    <m/>
    <m/>
    <m/>
    <m/>
    <m/>
  </r>
  <r>
    <n v="90"/>
    <s v="Implementación RAN"/>
    <s v="SNC-090"/>
    <x v="8"/>
    <m/>
    <m/>
    <x v="12"/>
    <m/>
    <m/>
    <m/>
    <s v=""/>
    <m/>
    <s v=""/>
    <x v="4"/>
    <s v=""/>
    <s v=""/>
    <s v=""/>
    <m/>
    <n v="0"/>
    <m/>
    <m/>
    <m/>
    <m/>
    <m/>
    <m/>
  </r>
  <r>
    <n v="91"/>
    <s v="Implementación RAN"/>
    <s v="SNC-091"/>
    <x v="8"/>
    <m/>
    <m/>
    <x v="12"/>
    <m/>
    <m/>
    <m/>
    <s v=""/>
    <m/>
    <s v=""/>
    <x v="4"/>
    <s v=""/>
    <s v=""/>
    <s v=""/>
    <m/>
    <n v="0"/>
    <m/>
    <m/>
    <m/>
    <m/>
    <m/>
    <m/>
  </r>
  <r>
    <n v="92"/>
    <s v="Implementación RAN"/>
    <s v="SNC-092"/>
    <x v="8"/>
    <m/>
    <m/>
    <x v="12"/>
    <m/>
    <m/>
    <m/>
    <s v=""/>
    <m/>
    <s v=""/>
    <x v="4"/>
    <s v=""/>
    <s v=""/>
    <s v=""/>
    <m/>
    <n v="0"/>
    <m/>
    <m/>
    <m/>
    <m/>
    <m/>
    <m/>
  </r>
  <r>
    <n v="93"/>
    <s v="Implementación RAN"/>
    <s v="SNC-093"/>
    <x v="8"/>
    <m/>
    <m/>
    <x v="12"/>
    <m/>
    <m/>
    <m/>
    <s v=""/>
    <m/>
    <s v=""/>
    <x v="4"/>
    <s v=""/>
    <s v=""/>
    <s v=""/>
    <m/>
    <n v="0"/>
    <m/>
    <m/>
    <m/>
    <m/>
    <m/>
    <m/>
  </r>
  <r>
    <n v="94"/>
    <s v="Implementación RAN"/>
    <s v="SNC-094"/>
    <x v="8"/>
    <m/>
    <m/>
    <x v="12"/>
    <m/>
    <m/>
    <m/>
    <s v=""/>
    <m/>
    <s v=""/>
    <x v="4"/>
    <s v=""/>
    <s v=""/>
    <s v=""/>
    <m/>
    <n v="0"/>
    <m/>
    <m/>
    <m/>
    <m/>
    <m/>
    <m/>
  </r>
  <r>
    <n v="95"/>
    <s v="Implementación RAN"/>
    <s v="SNC-095"/>
    <x v="8"/>
    <m/>
    <m/>
    <x v="12"/>
    <m/>
    <m/>
    <m/>
    <s v=""/>
    <m/>
    <s v=""/>
    <x v="4"/>
    <s v=""/>
    <s v=""/>
    <s v=""/>
    <m/>
    <n v="0"/>
    <m/>
    <m/>
    <m/>
    <m/>
    <m/>
    <m/>
  </r>
  <r>
    <n v="96"/>
    <s v="Implementación RAN"/>
    <s v="SNC-096"/>
    <x v="8"/>
    <m/>
    <m/>
    <x v="12"/>
    <m/>
    <m/>
    <m/>
    <s v=""/>
    <m/>
    <s v=""/>
    <x v="4"/>
    <s v=""/>
    <s v=""/>
    <s v=""/>
    <m/>
    <n v="0"/>
    <m/>
    <m/>
    <m/>
    <m/>
    <m/>
    <m/>
  </r>
  <r>
    <n v="97"/>
    <s v="Implementación RAN"/>
    <s v="SNC-097"/>
    <x v="8"/>
    <m/>
    <m/>
    <x v="12"/>
    <m/>
    <m/>
    <m/>
    <s v=""/>
    <m/>
    <s v=""/>
    <x v="4"/>
    <s v=""/>
    <s v=""/>
    <s v=""/>
    <m/>
    <n v="0"/>
    <m/>
    <m/>
    <m/>
    <m/>
    <m/>
    <m/>
  </r>
  <r>
    <n v="98"/>
    <s v="Implementación RAN"/>
    <s v="SNC-098"/>
    <x v="8"/>
    <m/>
    <m/>
    <x v="12"/>
    <m/>
    <m/>
    <m/>
    <s v=""/>
    <m/>
    <s v=""/>
    <x v="4"/>
    <s v=""/>
    <s v=""/>
    <s v=""/>
    <m/>
    <n v="0"/>
    <m/>
    <m/>
    <m/>
    <m/>
    <m/>
    <m/>
  </r>
  <r>
    <n v="99"/>
    <s v="Implementación RAN"/>
    <s v="SNC-099"/>
    <x v="8"/>
    <m/>
    <m/>
    <x v="12"/>
    <m/>
    <m/>
    <m/>
    <s v=""/>
    <m/>
    <s v=""/>
    <x v="4"/>
    <s v=""/>
    <s v=""/>
    <s v=""/>
    <m/>
    <n v="0"/>
    <m/>
    <m/>
    <m/>
    <m/>
    <m/>
    <m/>
  </r>
  <r>
    <n v="100"/>
    <s v="Implementación RAN"/>
    <s v="SNC-100"/>
    <x v="8"/>
    <m/>
    <m/>
    <x v="12"/>
    <m/>
    <m/>
    <m/>
    <s v=""/>
    <m/>
    <s v=""/>
    <x v="4"/>
    <s v=""/>
    <s v=""/>
    <s v=""/>
    <m/>
    <n v="0"/>
    <m/>
    <m/>
    <m/>
    <m/>
    <m/>
    <m/>
  </r>
  <r>
    <n v="101"/>
    <s v="Implementación RAN"/>
    <s v="SNC-101"/>
    <x v="8"/>
    <m/>
    <m/>
    <x v="12"/>
    <m/>
    <m/>
    <m/>
    <s v=""/>
    <m/>
    <s v=""/>
    <x v="4"/>
    <s v=""/>
    <s v=""/>
    <s v=""/>
    <m/>
    <n v="0"/>
    <m/>
    <m/>
    <m/>
    <m/>
    <m/>
    <m/>
  </r>
  <r>
    <n v="102"/>
    <s v="Implementación RAN"/>
    <s v="SNC-102"/>
    <x v="8"/>
    <m/>
    <m/>
    <x v="12"/>
    <m/>
    <m/>
    <m/>
    <s v=""/>
    <m/>
    <s v=""/>
    <x v="4"/>
    <s v=""/>
    <s v=""/>
    <s v=""/>
    <m/>
    <n v="0"/>
    <m/>
    <m/>
    <m/>
    <m/>
    <m/>
    <m/>
  </r>
  <r>
    <n v="103"/>
    <s v="Implementación RAN"/>
    <s v="SNC-103"/>
    <x v="8"/>
    <m/>
    <m/>
    <x v="12"/>
    <m/>
    <m/>
    <m/>
    <s v=""/>
    <m/>
    <s v=""/>
    <x v="4"/>
    <s v=""/>
    <s v=""/>
    <s v=""/>
    <m/>
    <n v="0"/>
    <m/>
    <m/>
    <m/>
    <m/>
    <m/>
    <m/>
  </r>
  <r>
    <n v="104"/>
    <s v="Implementación RAN"/>
    <s v="SNC-104"/>
    <x v="8"/>
    <m/>
    <m/>
    <x v="12"/>
    <m/>
    <m/>
    <m/>
    <s v=""/>
    <m/>
    <s v=""/>
    <x v="4"/>
    <s v=""/>
    <s v=""/>
    <s v=""/>
    <m/>
    <n v="0"/>
    <m/>
    <m/>
    <m/>
    <m/>
    <m/>
    <m/>
  </r>
  <r>
    <n v="105"/>
    <s v="Implementación RAN"/>
    <s v="SNC-105"/>
    <x v="8"/>
    <m/>
    <m/>
    <x v="12"/>
    <m/>
    <m/>
    <m/>
    <s v=""/>
    <m/>
    <s v=""/>
    <x v="4"/>
    <s v=""/>
    <s v=""/>
    <s v=""/>
    <m/>
    <n v="0"/>
    <m/>
    <m/>
    <m/>
    <m/>
    <m/>
    <m/>
  </r>
  <r>
    <n v="106"/>
    <s v="Implementación RAN"/>
    <s v="SNC-106"/>
    <x v="8"/>
    <m/>
    <m/>
    <x v="12"/>
    <m/>
    <m/>
    <m/>
    <s v=""/>
    <m/>
    <s v=""/>
    <x v="4"/>
    <s v=""/>
    <s v=""/>
    <s v=""/>
    <m/>
    <n v="0"/>
    <m/>
    <m/>
    <m/>
    <m/>
    <m/>
    <m/>
  </r>
  <r>
    <n v="107"/>
    <s v="Implementación RAN"/>
    <s v="SNC-107"/>
    <x v="8"/>
    <m/>
    <m/>
    <x v="12"/>
    <m/>
    <m/>
    <m/>
    <s v=""/>
    <m/>
    <s v=""/>
    <x v="4"/>
    <s v=""/>
    <s v=""/>
    <s v=""/>
    <m/>
    <n v="0"/>
    <m/>
    <m/>
    <m/>
    <m/>
    <m/>
    <m/>
  </r>
  <r>
    <n v="108"/>
    <s v="Implementación RAN"/>
    <s v="SNC-108"/>
    <x v="8"/>
    <m/>
    <m/>
    <x v="12"/>
    <m/>
    <m/>
    <m/>
    <s v=""/>
    <m/>
    <s v=""/>
    <x v="4"/>
    <s v=""/>
    <s v=""/>
    <s v=""/>
    <m/>
    <n v="0"/>
    <m/>
    <m/>
    <m/>
    <m/>
    <m/>
    <m/>
  </r>
  <r>
    <n v="109"/>
    <s v="Implementación RAN"/>
    <s v="SNC-109"/>
    <x v="8"/>
    <m/>
    <m/>
    <x v="12"/>
    <m/>
    <m/>
    <m/>
    <s v=""/>
    <m/>
    <s v=""/>
    <x v="4"/>
    <s v=""/>
    <s v=""/>
    <s v=""/>
    <m/>
    <n v="0"/>
    <m/>
    <m/>
    <m/>
    <m/>
    <m/>
    <m/>
  </r>
  <r>
    <n v="110"/>
    <s v="Implementación RAN"/>
    <s v="SNC-110"/>
    <x v="8"/>
    <m/>
    <m/>
    <x v="12"/>
    <m/>
    <m/>
    <m/>
    <s v=""/>
    <m/>
    <s v=""/>
    <x v="4"/>
    <s v=""/>
    <s v=""/>
    <s v=""/>
    <m/>
    <n v="0"/>
    <m/>
    <m/>
    <m/>
    <m/>
    <m/>
    <m/>
  </r>
  <r>
    <n v="111"/>
    <s v="Implementación RAN"/>
    <s v="SNC-111"/>
    <x v="8"/>
    <m/>
    <m/>
    <x v="12"/>
    <m/>
    <m/>
    <m/>
    <s v=""/>
    <m/>
    <s v=""/>
    <x v="4"/>
    <s v=""/>
    <s v=""/>
    <s v=""/>
    <m/>
    <n v="0"/>
    <m/>
    <m/>
    <m/>
    <m/>
    <m/>
    <m/>
  </r>
  <r>
    <n v="112"/>
    <s v="Implementación RAN"/>
    <s v="SNC-112"/>
    <x v="8"/>
    <m/>
    <m/>
    <x v="12"/>
    <m/>
    <m/>
    <m/>
    <s v=""/>
    <m/>
    <s v=""/>
    <x v="4"/>
    <s v=""/>
    <s v=""/>
    <s v=""/>
    <m/>
    <n v="0"/>
    <m/>
    <m/>
    <m/>
    <m/>
    <m/>
    <m/>
  </r>
  <r>
    <n v="113"/>
    <s v="Implementación RAN"/>
    <s v="SNC-113"/>
    <x v="8"/>
    <m/>
    <m/>
    <x v="12"/>
    <m/>
    <m/>
    <m/>
    <s v=""/>
    <m/>
    <s v=""/>
    <x v="4"/>
    <s v=""/>
    <s v=""/>
    <s v=""/>
    <m/>
    <n v="0"/>
    <m/>
    <m/>
    <m/>
    <m/>
    <m/>
    <m/>
  </r>
  <r>
    <n v="114"/>
    <s v="Implementación RAN"/>
    <s v="SNC-114"/>
    <x v="8"/>
    <m/>
    <m/>
    <x v="12"/>
    <m/>
    <m/>
    <m/>
    <s v=""/>
    <m/>
    <s v=""/>
    <x v="4"/>
    <s v=""/>
    <s v=""/>
    <s v=""/>
    <m/>
    <n v="0"/>
    <m/>
    <m/>
    <m/>
    <m/>
    <m/>
    <m/>
  </r>
  <r>
    <n v="115"/>
    <s v="Implementación RAN"/>
    <s v="SNC-115"/>
    <x v="8"/>
    <m/>
    <m/>
    <x v="12"/>
    <m/>
    <m/>
    <m/>
    <s v=""/>
    <m/>
    <s v=""/>
    <x v="4"/>
    <s v=""/>
    <s v=""/>
    <s v=""/>
    <m/>
    <n v="0"/>
    <m/>
    <m/>
    <m/>
    <m/>
    <m/>
    <m/>
  </r>
  <r>
    <n v="116"/>
    <s v="Implementación RAN"/>
    <s v="SNC-116"/>
    <x v="8"/>
    <m/>
    <m/>
    <x v="12"/>
    <m/>
    <m/>
    <m/>
    <s v=""/>
    <m/>
    <s v=""/>
    <x v="4"/>
    <s v=""/>
    <s v=""/>
    <s v=""/>
    <m/>
    <n v="0"/>
    <m/>
    <m/>
    <m/>
    <m/>
    <m/>
    <m/>
  </r>
  <r>
    <n v="117"/>
    <s v="Implementación RAN"/>
    <s v="SNC-117"/>
    <x v="8"/>
    <m/>
    <m/>
    <x v="12"/>
    <m/>
    <m/>
    <m/>
    <s v=""/>
    <m/>
    <s v=""/>
    <x v="4"/>
    <s v=""/>
    <s v=""/>
    <s v=""/>
    <m/>
    <n v="0"/>
    <m/>
    <m/>
    <m/>
    <m/>
    <m/>
    <m/>
  </r>
  <r>
    <n v="118"/>
    <s v="Implementación RAN"/>
    <s v="SNC-118"/>
    <x v="8"/>
    <m/>
    <m/>
    <x v="12"/>
    <m/>
    <m/>
    <m/>
    <s v=""/>
    <m/>
    <s v=""/>
    <x v="4"/>
    <s v=""/>
    <s v=""/>
    <s v=""/>
    <m/>
    <n v="0"/>
    <m/>
    <m/>
    <m/>
    <m/>
    <m/>
    <m/>
  </r>
  <r>
    <n v="119"/>
    <s v="Implementación RAN"/>
    <s v="SNC-119"/>
    <x v="8"/>
    <m/>
    <m/>
    <x v="12"/>
    <m/>
    <m/>
    <m/>
    <s v=""/>
    <m/>
    <s v=""/>
    <x v="4"/>
    <s v=""/>
    <s v=""/>
    <s v=""/>
    <m/>
    <n v="0"/>
    <m/>
    <m/>
    <m/>
    <m/>
    <m/>
    <m/>
  </r>
  <r>
    <n v="120"/>
    <s v="Implementación RAN"/>
    <s v="SNC-120"/>
    <x v="8"/>
    <m/>
    <m/>
    <x v="12"/>
    <m/>
    <m/>
    <m/>
    <s v=""/>
    <m/>
    <s v=""/>
    <x v="4"/>
    <s v=""/>
    <s v=""/>
    <s v=""/>
    <m/>
    <n v="0"/>
    <m/>
    <m/>
    <m/>
    <m/>
    <m/>
    <m/>
  </r>
  <r>
    <n v="121"/>
    <s v="Implementación RAN"/>
    <s v="SNC-121"/>
    <x v="8"/>
    <m/>
    <m/>
    <x v="12"/>
    <m/>
    <m/>
    <m/>
    <s v=""/>
    <m/>
    <s v=""/>
    <x v="4"/>
    <s v=""/>
    <s v=""/>
    <s v=""/>
    <m/>
    <n v="0"/>
    <m/>
    <m/>
    <m/>
    <m/>
    <m/>
    <m/>
  </r>
  <r>
    <n v="122"/>
    <s v="Implementación RAN"/>
    <s v="SNC-122"/>
    <x v="8"/>
    <m/>
    <m/>
    <x v="12"/>
    <m/>
    <m/>
    <m/>
    <s v=""/>
    <m/>
    <s v=""/>
    <x v="4"/>
    <s v=""/>
    <s v=""/>
    <s v=""/>
    <m/>
    <n v="0"/>
    <m/>
    <m/>
    <m/>
    <m/>
    <m/>
    <m/>
  </r>
  <r>
    <n v="123"/>
    <s v="Implementación RAN"/>
    <s v="SNC-123"/>
    <x v="8"/>
    <m/>
    <m/>
    <x v="12"/>
    <m/>
    <m/>
    <m/>
    <s v=""/>
    <m/>
    <s v=""/>
    <x v="4"/>
    <s v=""/>
    <s v=""/>
    <s v=""/>
    <m/>
    <n v="0"/>
    <m/>
    <m/>
    <m/>
    <m/>
    <m/>
    <m/>
  </r>
  <r>
    <n v="124"/>
    <s v="Implementación RAN"/>
    <s v="SNC-124"/>
    <x v="8"/>
    <m/>
    <m/>
    <x v="12"/>
    <m/>
    <m/>
    <m/>
    <s v=""/>
    <m/>
    <s v=""/>
    <x v="4"/>
    <s v=""/>
    <s v=""/>
    <s v=""/>
    <m/>
    <n v="0"/>
    <m/>
    <m/>
    <m/>
    <m/>
    <m/>
    <m/>
  </r>
  <r>
    <n v="125"/>
    <s v="Implementación RAN"/>
    <s v="SNC-125"/>
    <x v="8"/>
    <m/>
    <m/>
    <x v="12"/>
    <m/>
    <m/>
    <m/>
    <s v=""/>
    <m/>
    <s v=""/>
    <x v="4"/>
    <s v=""/>
    <s v=""/>
    <s v=""/>
    <m/>
    <n v="0"/>
    <m/>
    <m/>
    <m/>
    <m/>
    <m/>
    <m/>
  </r>
  <r>
    <n v="126"/>
    <s v="Implementación RAN"/>
    <s v="SNC-126"/>
    <x v="8"/>
    <m/>
    <m/>
    <x v="12"/>
    <m/>
    <m/>
    <m/>
    <s v=""/>
    <m/>
    <s v=""/>
    <x v="4"/>
    <s v=""/>
    <s v=""/>
    <s v=""/>
    <m/>
    <n v="0"/>
    <m/>
    <m/>
    <m/>
    <m/>
    <m/>
    <m/>
  </r>
  <r>
    <n v="127"/>
    <s v="Implementación RAN"/>
    <s v="SNC-127"/>
    <x v="8"/>
    <m/>
    <m/>
    <x v="12"/>
    <m/>
    <m/>
    <m/>
    <s v=""/>
    <m/>
    <s v=""/>
    <x v="4"/>
    <s v=""/>
    <s v=""/>
    <s v=""/>
    <m/>
    <n v="0"/>
    <m/>
    <m/>
    <m/>
    <m/>
    <m/>
    <m/>
  </r>
  <r>
    <n v="128"/>
    <s v="Implementación RAN"/>
    <s v="SNC-128"/>
    <x v="8"/>
    <m/>
    <m/>
    <x v="12"/>
    <m/>
    <m/>
    <m/>
    <s v=""/>
    <m/>
    <s v=""/>
    <x v="4"/>
    <s v=""/>
    <s v=""/>
    <s v=""/>
    <m/>
    <n v="0"/>
    <m/>
    <m/>
    <m/>
    <m/>
    <m/>
    <m/>
  </r>
  <r>
    <n v="129"/>
    <s v="Implementación RAN"/>
    <s v="SNC-129"/>
    <x v="8"/>
    <m/>
    <m/>
    <x v="12"/>
    <m/>
    <m/>
    <m/>
    <s v=""/>
    <m/>
    <s v=""/>
    <x v="4"/>
    <s v=""/>
    <s v=""/>
    <s v=""/>
    <m/>
    <n v="0"/>
    <m/>
    <m/>
    <m/>
    <m/>
    <m/>
    <m/>
  </r>
  <r>
    <n v="130"/>
    <s v="Implementación RAN"/>
    <s v="SNC-130"/>
    <x v="8"/>
    <m/>
    <m/>
    <x v="12"/>
    <m/>
    <m/>
    <m/>
    <s v=""/>
    <m/>
    <s v=""/>
    <x v="4"/>
    <s v=""/>
    <s v=""/>
    <s v=""/>
    <m/>
    <n v="0"/>
    <m/>
    <m/>
    <m/>
    <m/>
    <m/>
    <m/>
  </r>
  <r>
    <n v="131"/>
    <s v="Implementación RAN"/>
    <s v="SNC-131"/>
    <x v="8"/>
    <m/>
    <m/>
    <x v="12"/>
    <m/>
    <m/>
    <m/>
    <s v=""/>
    <m/>
    <s v=""/>
    <x v="4"/>
    <s v=""/>
    <s v=""/>
    <s v=""/>
    <m/>
    <n v="0"/>
    <m/>
    <m/>
    <m/>
    <m/>
    <m/>
    <m/>
  </r>
  <r>
    <n v="132"/>
    <s v="Implementación RAN"/>
    <s v="SNC-132"/>
    <x v="8"/>
    <m/>
    <m/>
    <x v="12"/>
    <m/>
    <m/>
    <m/>
    <s v=""/>
    <m/>
    <s v=""/>
    <x v="4"/>
    <s v=""/>
    <s v=""/>
    <s v=""/>
    <m/>
    <n v="0"/>
    <m/>
    <m/>
    <m/>
    <m/>
    <m/>
    <m/>
  </r>
  <r>
    <n v="133"/>
    <s v="Implementación RAN"/>
    <s v="SNC-133"/>
    <x v="8"/>
    <m/>
    <m/>
    <x v="12"/>
    <m/>
    <m/>
    <m/>
    <s v=""/>
    <m/>
    <s v=""/>
    <x v="4"/>
    <s v=""/>
    <s v=""/>
    <s v=""/>
    <m/>
    <n v="0"/>
    <m/>
    <m/>
    <m/>
    <m/>
    <m/>
    <m/>
  </r>
  <r>
    <n v="134"/>
    <s v="Implementación RAN"/>
    <s v="SNC-134"/>
    <x v="8"/>
    <m/>
    <m/>
    <x v="12"/>
    <m/>
    <m/>
    <m/>
    <s v=""/>
    <m/>
    <s v=""/>
    <x v="4"/>
    <s v=""/>
    <s v=""/>
    <s v=""/>
    <m/>
    <n v="0"/>
    <m/>
    <m/>
    <m/>
    <m/>
    <m/>
    <m/>
  </r>
  <r>
    <n v="135"/>
    <s v="Implementación RAN"/>
    <s v="SNC-135"/>
    <x v="8"/>
    <m/>
    <m/>
    <x v="12"/>
    <m/>
    <m/>
    <m/>
    <s v=""/>
    <m/>
    <s v=""/>
    <x v="4"/>
    <s v=""/>
    <s v=""/>
    <s v=""/>
    <m/>
    <n v="0"/>
    <m/>
    <m/>
    <m/>
    <m/>
    <m/>
    <m/>
  </r>
  <r>
    <n v="136"/>
    <s v="Implementación RAN"/>
    <s v="SNC-136"/>
    <x v="8"/>
    <m/>
    <m/>
    <x v="12"/>
    <m/>
    <m/>
    <m/>
    <s v=""/>
    <m/>
    <s v=""/>
    <x v="4"/>
    <s v=""/>
    <s v=""/>
    <s v=""/>
    <m/>
    <n v="0"/>
    <m/>
    <m/>
    <m/>
    <m/>
    <m/>
    <m/>
  </r>
  <r>
    <n v="137"/>
    <s v="Implementación RAN"/>
    <s v="SNC-137"/>
    <x v="8"/>
    <m/>
    <m/>
    <x v="12"/>
    <m/>
    <m/>
    <m/>
    <s v=""/>
    <m/>
    <s v=""/>
    <x v="4"/>
    <s v=""/>
    <s v=""/>
    <s v=""/>
    <m/>
    <n v="0"/>
    <m/>
    <m/>
    <m/>
    <m/>
    <m/>
    <m/>
  </r>
  <r>
    <n v="138"/>
    <s v="Implementación RAN"/>
    <s v="SNC-138"/>
    <x v="8"/>
    <m/>
    <m/>
    <x v="12"/>
    <m/>
    <m/>
    <m/>
    <s v=""/>
    <m/>
    <s v=""/>
    <x v="4"/>
    <s v=""/>
    <s v=""/>
    <s v=""/>
    <m/>
    <n v="0"/>
    <m/>
    <m/>
    <m/>
    <m/>
    <m/>
    <m/>
  </r>
  <r>
    <n v="139"/>
    <s v="Implementación RAN"/>
    <s v="SNC-139"/>
    <x v="8"/>
    <m/>
    <m/>
    <x v="12"/>
    <m/>
    <m/>
    <m/>
    <s v=""/>
    <m/>
    <s v=""/>
    <x v="4"/>
    <s v=""/>
    <s v=""/>
    <s v=""/>
    <m/>
    <n v="0"/>
    <m/>
    <m/>
    <m/>
    <m/>
    <m/>
    <m/>
  </r>
  <r>
    <n v="140"/>
    <s v="Implementación RAN"/>
    <s v="SNC-140"/>
    <x v="8"/>
    <m/>
    <m/>
    <x v="12"/>
    <m/>
    <m/>
    <m/>
    <s v=""/>
    <m/>
    <s v=""/>
    <x v="4"/>
    <s v=""/>
    <s v=""/>
    <s v=""/>
    <m/>
    <n v="0"/>
    <m/>
    <m/>
    <m/>
    <m/>
    <m/>
    <m/>
  </r>
  <r>
    <n v="141"/>
    <s v="Implementación RAN"/>
    <s v="SNC-141"/>
    <x v="8"/>
    <m/>
    <m/>
    <x v="12"/>
    <m/>
    <m/>
    <m/>
    <s v=""/>
    <m/>
    <s v=""/>
    <x v="4"/>
    <s v=""/>
    <s v=""/>
    <s v=""/>
    <m/>
    <n v="0"/>
    <m/>
    <m/>
    <m/>
    <m/>
    <m/>
    <m/>
  </r>
  <r>
    <n v="142"/>
    <s v="Implementación RAN"/>
    <s v="SNC-142"/>
    <x v="8"/>
    <m/>
    <m/>
    <x v="12"/>
    <m/>
    <m/>
    <m/>
    <s v=""/>
    <m/>
    <s v=""/>
    <x v="4"/>
    <s v=""/>
    <s v=""/>
    <s v=""/>
    <m/>
    <n v="0"/>
    <m/>
    <m/>
    <m/>
    <m/>
    <m/>
    <m/>
  </r>
  <r>
    <n v="143"/>
    <s v="Implementación RAN"/>
    <s v="SNC-143"/>
    <x v="8"/>
    <m/>
    <m/>
    <x v="12"/>
    <m/>
    <m/>
    <m/>
    <s v=""/>
    <m/>
    <s v=""/>
    <x v="4"/>
    <s v=""/>
    <s v=""/>
    <s v=""/>
    <m/>
    <n v="0"/>
    <m/>
    <m/>
    <m/>
    <m/>
    <m/>
    <m/>
  </r>
  <r>
    <n v="144"/>
    <s v="Implementación RAN"/>
    <s v="SNC-144"/>
    <x v="8"/>
    <m/>
    <m/>
    <x v="12"/>
    <m/>
    <m/>
    <m/>
    <s v=""/>
    <m/>
    <s v=""/>
    <x v="4"/>
    <s v=""/>
    <s v=""/>
    <s v=""/>
    <m/>
    <n v="0"/>
    <m/>
    <m/>
    <m/>
    <m/>
    <m/>
    <m/>
  </r>
  <r>
    <n v="145"/>
    <s v="Implementación RAN"/>
    <s v="SNC-145"/>
    <x v="8"/>
    <m/>
    <m/>
    <x v="12"/>
    <m/>
    <m/>
    <m/>
    <s v=""/>
    <m/>
    <s v=""/>
    <x v="4"/>
    <s v=""/>
    <s v=""/>
    <s v=""/>
    <m/>
    <n v="0"/>
    <m/>
    <m/>
    <m/>
    <m/>
    <m/>
    <m/>
  </r>
  <r>
    <n v="146"/>
    <s v="Implementación RAN"/>
    <s v="SNC-146"/>
    <x v="8"/>
    <m/>
    <m/>
    <x v="12"/>
    <m/>
    <m/>
    <m/>
    <s v=""/>
    <m/>
    <s v=""/>
    <x v="4"/>
    <s v=""/>
    <s v=""/>
    <s v=""/>
    <m/>
    <n v="0"/>
    <m/>
    <m/>
    <m/>
    <m/>
    <m/>
    <m/>
  </r>
  <r>
    <n v="147"/>
    <s v="Implementación RAN"/>
    <s v="SNC-147"/>
    <x v="8"/>
    <m/>
    <m/>
    <x v="12"/>
    <m/>
    <m/>
    <m/>
    <s v=""/>
    <m/>
    <s v=""/>
    <x v="4"/>
    <s v=""/>
    <s v=""/>
    <s v=""/>
    <m/>
    <n v="0"/>
    <m/>
    <m/>
    <m/>
    <m/>
    <m/>
    <m/>
  </r>
  <r>
    <n v="148"/>
    <s v="Implementación RAN"/>
    <s v="SNC-148"/>
    <x v="8"/>
    <m/>
    <m/>
    <x v="12"/>
    <m/>
    <m/>
    <m/>
    <s v=""/>
    <m/>
    <s v=""/>
    <x v="4"/>
    <s v=""/>
    <s v=""/>
    <s v=""/>
    <m/>
    <n v="0"/>
    <m/>
    <m/>
    <m/>
    <m/>
    <m/>
    <m/>
  </r>
  <r>
    <n v="149"/>
    <s v="Implementación RAN"/>
    <s v="SNC-149"/>
    <x v="8"/>
    <m/>
    <m/>
    <x v="12"/>
    <m/>
    <m/>
    <m/>
    <s v=""/>
    <m/>
    <s v=""/>
    <x v="4"/>
    <s v=""/>
    <s v=""/>
    <s v=""/>
    <m/>
    <n v="0"/>
    <m/>
    <m/>
    <m/>
    <m/>
    <m/>
    <m/>
  </r>
  <r>
    <n v="150"/>
    <s v="Implementación RAN"/>
    <s v="SNC-150"/>
    <x v="8"/>
    <m/>
    <m/>
    <x v="12"/>
    <m/>
    <m/>
    <m/>
    <s v=""/>
    <m/>
    <s v=""/>
    <x v="4"/>
    <s v=""/>
    <s v=""/>
    <s v=""/>
    <m/>
    <n v="0"/>
    <m/>
    <m/>
    <m/>
    <m/>
    <m/>
    <m/>
  </r>
  <r>
    <n v="151"/>
    <s v="Implementación RAN"/>
    <s v="SNC-151"/>
    <x v="8"/>
    <m/>
    <m/>
    <x v="12"/>
    <m/>
    <m/>
    <m/>
    <s v=""/>
    <m/>
    <s v=""/>
    <x v="4"/>
    <s v=""/>
    <s v=""/>
    <s v=""/>
    <m/>
    <n v="0"/>
    <m/>
    <m/>
    <m/>
    <m/>
    <m/>
    <m/>
  </r>
  <r>
    <n v="152"/>
    <s v="Implementación RAN"/>
    <s v="SNC-152"/>
    <x v="8"/>
    <m/>
    <m/>
    <x v="12"/>
    <m/>
    <m/>
    <m/>
    <s v=""/>
    <m/>
    <s v=""/>
    <x v="4"/>
    <s v=""/>
    <s v=""/>
    <s v=""/>
    <m/>
    <n v="0"/>
    <m/>
    <m/>
    <m/>
    <m/>
    <m/>
    <m/>
  </r>
  <r>
    <n v="153"/>
    <s v="Implementación RAN"/>
    <s v="SNC-153"/>
    <x v="8"/>
    <m/>
    <m/>
    <x v="12"/>
    <m/>
    <m/>
    <m/>
    <s v=""/>
    <m/>
    <s v=""/>
    <x v="4"/>
    <s v=""/>
    <s v=""/>
    <s v=""/>
    <m/>
    <n v="0"/>
    <m/>
    <m/>
    <m/>
    <m/>
    <m/>
    <m/>
  </r>
  <r>
    <n v="154"/>
    <s v="Implementación RAN"/>
    <s v="SNC-154"/>
    <x v="8"/>
    <m/>
    <m/>
    <x v="12"/>
    <m/>
    <m/>
    <m/>
    <s v=""/>
    <m/>
    <s v=""/>
    <x v="4"/>
    <s v=""/>
    <s v=""/>
    <s v=""/>
    <m/>
    <n v="0"/>
    <m/>
    <m/>
    <m/>
    <m/>
    <m/>
    <m/>
  </r>
  <r>
    <n v="155"/>
    <s v="Implementación RAN"/>
    <s v="SNC-155"/>
    <x v="8"/>
    <m/>
    <m/>
    <x v="12"/>
    <m/>
    <m/>
    <m/>
    <s v=""/>
    <m/>
    <s v=""/>
    <x v="4"/>
    <s v=""/>
    <s v=""/>
    <s v=""/>
    <m/>
    <n v="0"/>
    <m/>
    <m/>
    <m/>
    <m/>
    <m/>
    <m/>
  </r>
  <r>
    <n v="156"/>
    <s v="Implementación RAN"/>
    <s v="SNC-156"/>
    <x v="8"/>
    <m/>
    <m/>
    <x v="12"/>
    <m/>
    <m/>
    <m/>
    <s v=""/>
    <m/>
    <s v=""/>
    <x v="4"/>
    <s v=""/>
    <s v=""/>
    <s v=""/>
    <m/>
    <n v="0"/>
    <m/>
    <m/>
    <m/>
    <m/>
    <m/>
    <m/>
  </r>
  <r>
    <n v="157"/>
    <s v="Implementación RAN"/>
    <s v="SNC-157"/>
    <x v="8"/>
    <m/>
    <m/>
    <x v="12"/>
    <m/>
    <m/>
    <m/>
    <s v=""/>
    <m/>
    <s v=""/>
    <x v="4"/>
    <s v=""/>
    <s v=""/>
    <s v=""/>
    <m/>
    <n v="0"/>
    <m/>
    <m/>
    <m/>
    <m/>
    <m/>
    <m/>
  </r>
  <r>
    <n v="158"/>
    <s v="Implementación RAN"/>
    <s v="SNC-158"/>
    <x v="8"/>
    <m/>
    <m/>
    <x v="12"/>
    <m/>
    <m/>
    <m/>
    <s v=""/>
    <m/>
    <s v=""/>
    <x v="4"/>
    <s v=""/>
    <s v=""/>
    <s v=""/>
    <m/>
    <n v="0"/>
    <m/>
    <m/>
    <m/>
    <m/>
    <m/>
    <m/>
  </r>
  <r>
    <n v="159"/>
    <s v="Implementación RAN"/>
    <s v="SNC-159"/>
    <x v="8"/>
    <m/>
    <m/>
    <x v="12"/>
    <m/>
    <m/>
    <m/>
    <s v=""/>
    <m/>
    <s v=""/>
    <x v="4"/>
    <s v=""/>
    <s v=""/>
    <s v=""/>
    <m/>
    <n v="0"/>
    <m/>
    <m/>
    <m/>
    <m/>
    <m/>
    <m/>
  </r>
  <r>
    <n v="160"/>
    <s v="Implementación RAN"/>
    <s v="SNC-160"/>
    <x v="8"/>
    <m/>
    <m/>
    <x v="12"/>
    <m/>
    <m/>
    <m/>
    <s v=""/>
    <m/>
    <s v=""/>
    <x v="4"/>
    <s v=""/>
    <s v=""/>
    <s v=""/>
    <m/>
    <n v="0"/>
    <m/>
    <m/>
    <m/>
    <m/>
    <m/>
    <m/>
  </r>
  <r>
    <n v="161"/>
    <s v="Implementación RAN"/>
    <s v="SNC-161"/>
    <x v="8"/>
    <m/>
    <m/>
    <x v="12"/>
    <m/>
    <m/>
    <m/>
    <s v=""/>
    <m/>
    <s v=""/>
    <x v="4"/>
    <s v=""/>
    <s v=""/>
    <s v=""/>
    <m/>
    <n v="0"/>
    <m/>
    <m/>
    <m/>
    <m/>
    <m/>
    <m/>
  </r>
  <r>
    <n v="162"/>
    <s v="Implementación RAN"/>
    <s v="SNC-162"/>
    <x v="8"/>
    <m/>
    <m/>
    <x v="12"/>
    <m/>
    <m/>
    <m/>
    <s v=""/>
    <m/>
    <s v=""/>
    <x v="4"/>
    <s v=""/>
    <s v=""/>
    <s v=""/>
    <m/>
    <n v="0"/>
    <m/>
    <m/>
    <m/>
    <m/>
    <m/>
    <m/>
  </r>
  <r>
    <n v="163"/>
    <s v="Implementación RAN"/>
    <s v="SNC-163"/>
    <x v="8"/>
    <m/>
    <m/>
    <x v="12"/>
    <m/>
    <m/>
    <m/>
    <s v=""/>
    <m/>
    <s v=""/>
    <x v="4"/>
    <s v=""/>
    <s v=""/>
    <s v=""/>
    <m/>
    <n v="0"/>
    <m/>
    <m/>
    <m/>
    <m/>
    <m/>
    <m/>
  </r>
  <r>
    <n v="164"/>
    <s v="Implementación RAN"/>
    <s v="SNC-164"/>
    <x v="8"/>
    <m/>
    <m/>
    <x v="12"/>
    <m/>
    <m/>
    <m/>
    <s v=""/>
    <m/>
    <s v=""/>
    <x v="4"/>
    <s v=""/>
    <s v=""/>
    <s v=""/>
    <m/>
    <n v="0"/>
    <m/>
    <m/>
    <m/>
    <m/>
    <m/>
    <m/>
  </r>
  <r>
    <n v="165"/>
    <s v="Implementación RAN"/>
    <s v="SNC-165"/>
    <x v="8"/>
    <m/>
    <m/>
    <x v="12"/>
    <m/>
    <m/>
    <m/>
    <s v=""/>
    <m/>
    <s v=""/>
    <x v="4"/>
    <s v=""/>
    <s v=""/>
    <s v=""/>
    <m/>
    <n v="0"/>
    <m/>
    <m/>
    <m/>
    <m/>
    <m/>
    <m/>
  </r>
  <r>
    <n v="166"/>
    <s v="Implementación RAN"/>
    <s v="SNC-166"/>
    <x v="8"/>
    <m/>
    <m/>
    <x v="12"/>
    <m/>
    <m/>
    <m/>
    <s v=""/>
    <m/>
    <s v=""/>
    <x v="4"/>
    <s v=""/>
    <s v=""/>
    <s v=""/>
    <m/>
    <n v="0"/>
    <m/>
    <m/>
    <m/>
    <m/>
    <m/>
    <m/>
  </r>
  <r>
    <n v="167"/>
    <s v="Implementación RAN"/>
    <s v="SNC-167"/>
    <x v="8"/>
    <m/>
    <m/>
    <x v="12"/>
    <m/>
    <m/>
    <m/>
    <s v=""/>
    <m/>
    <s v=""/>
    <x v="4"/>
    <s v=""/>
    <s v=""/>
    <s v=""/>
    <m/>
    <n v="0"/>
    <m/>
    <m/>
    <m/>
    <m/>
    <m/>
    <m/>
  </r>
  <r>
    <n v="168"/>
    <s v="Implementación RAN"/>
    <s v="SNC-168"/>
    <x v="8"/>
    <m/>
    <m/>
    <x v="12"/>
    <m/>
    <m/>
    <m/>
    <s v=""/>
    <m/>
    <s v=""/>
    <x v="4"/>
    <s v=""/>
    <s v=""/>
    <s v=""/>
    <m/>
    <n v="0"/>
    <m/>
    <m/>
    <m/>
    <m/>
    <m/>
    <m/>
  </r>
  <r>
    <n v="169"/>
    <s v="Implementación RAN"/>
    <s v="SNC-169"/>
    <x v="8"/>
    <m/>
    <m/>
    <x v="12"/>
    <m/>
    <m/>
    <m/>
    <s v=""/>
    <m/>
    <s v=""/>
    <x v="4"/>
    <s v=""/>
    <s v=""/>
    <s v=""/>
    <m/>
    <n v="0"/>
    <m/>
    <m/>
    <m/>
    <m/>
    <m/>
    <m/>
  </r>
  <r>
    <n v="170"/>
    <s v="Implementación RAN"/>
    <s v="SNC-170"/>
    <x v="8"/>
    <m/>
    <m/>
    <x v="12"/>
    <m/>
    <m/>
    <m/>
    <s v=""/>
    <m/>
    <s v=""/>
    <x v="4"/>
    <s v=""/>
    <s v=""/>
    <s v=""/>
    <m/>
    <n v="0"/>
    <m/>
    <m/>
    <m/>
    <m/>
    <m/>
    <m/>
  </r>
  <r>
    <n v="171"/>
    <s v="Implementación RAN"/>
    <s v="SNC-171"/>
    <x v="8"/>
    <m/>
    <m/>
    <x v="12"/>
    <m/>
    <m/>
    <m/>
    <s v=""/>
    <m/>
    <s v=""/>
    <x v="4"/>
    <s v=""/>
    <s v=""/>
    <s v=""/>
    <m/>
    <n v="0"/>
    <m/>
    <m/>
    <m/>
    <m/>
    <m/>
    <m/>
  </r>
  <r>
    <n v="172"/>
    <s v="Implementación RAN"/>
    <s v="SNC-172"/>
    <x v="8"/>
    <m/>
    <m/>
    <x v="12"/>
    <m/>
    <m/>
    <m/>
    <s v=""/>
    <m/>
    <s v=""/>
    <x v="4"/>
    <s v=""/>
    <s v=""/>
    <s v=""/>
    <m/>
    <n v="0"/>
    <m/>
    <m/>
    <m/>
    <m/>
    <m/>
    <m/>
  </r>
  <r>
    <n v="173"/>
    <s v="Implementación RAN"/>
    <s v="SNC-173"/>
    <x v="8"/>
    <m/>
    <m/>
    <x v="12"/>
    <m/>
    <m/>
    <m/>
    <s v=""/>
    <m/>
    <s v=""/>
    <x v="4"/>
    <s v=""/>
    <s v=""/>
    <s v=""/>
    <m/>
    <n v="0"/>
    <m/>
    <m/>
    <m/>
    <m/>
    <m/>
    <m/>
  </r>
  <r>
    <n v="174"/>
    <s v="Implementación RAN"/>
    <s v="SNC-174"/>
    <x v="8"/>
    <m/>
    <m/>
    <x v="12"/>
    <m/>
    <m/>
    <m/>
    <s v=""/>
    <m/>
    <s v=""/>
    <x v="4"/>
    <s v=""/>
    <s v=""/>
    <s v=""/>
    <m/>
    <n v="0"/>
    <m/>
    <m/>
    <m/>
    <m/>
    <m/>
    <m/>
  </r>
  <r>
    <n v="175"/>
    <s v="Implementación RAN"/>
    <s v="SNC-175"/>
    <x v="8"/>
    <m/>
    <m/>
    <x v="12"/>
    <m/>
    <m/>
    <m/>
    <s v=""/>
    <m/>
    <s v=""/>
    <x v="4"/>
    <s v=""/>
    <s v=""/>
    <s v=""/>
    <m/>
    <n v="0"/>
    <m/>
    <m/>
    <m/>
    <m/>
    <m/>
    <m/>
  </r>
  <r>
    <n v="176"/>
    <s v="Implementación RAN"/>
    <s v="SNC-176"/>
    <x v="8"/>
    <m/>
    <m/>
    <x v="12"/>
    <m/>
    <m/>
    <m/>
    <s v=""/>
    <m/>
    <s v=""/>
    <x v="4"/>
    <s v=""/>
    <s v=""/>
    <s v=""/>
    <m/>
    <n v="0"/>
    <m/>
    <m/>
    <m/>
    <m/>
    <m/>
    <m/>
  </r>
  <r>
    <n v="177"/>
    <s v="Implementación RAN"/>
    <s v="SNC-177"/>
    <x v="8"/>
    <m/>
    <m/>
    <x v="12"/>
    <m/>
    <m/>
    <m/>
    <s v=""/>
    <m/>
    <s v=""/>
    <x v="4"/>
    <s v=""/>
    <s v=""/>
    <s v=""/>
    <m/>
    <n v="0"/>
    <m/>
    <m/>
    <m/>
    <m/>
    <m/>
    <m/>
  </r>
  <r>
    <n v="178"/>
    <s v="Implementación RAN"/>
    <s v="SNC-178"/>
    <x v="8"/>
    <m/>
    <m/>
    <x v="12"/>
    <m/>
    <m/>
    <m/>
    <s v=""/>
    <m/>
    <s v=""/>
    <x v="4"/>
    <s v=""/>
    <s v=""/>
    <s v=""/>
    <m/>
    <n v="0"/>
    <m/>
    <m/>
    <m/>
    <m/>
    <m/>
    <m/>
  </r>
  <r>
    <n v="179"/>
    <s v="Implementación RAN"/>
    <s v="SNC-179"/>
    <x v="8"/>
    <m/>
    <m/>
    <x v="12"/>
    <m/>
    <m/>
    <m/>
    <s v=""/>
    <m/>
    <s v=""/>
    <x v="4"/>
    <s v=""/>
    <s v=""/>
    <s v=""/>
    <m/>
    <n v="0"/>
    <m/>
    <m/>
    <m/>
    <m/>
    <m/>
    <m/>
  </r>
  <r>
    <n v="180"/>
    <s v="Implementación RAN"/>
    <s v="SNC-180"/>
    <x v="8"/>
    <m/>
    <m/>
    <x v="12"/>
    <m/>
    <m/>
    <m/>
    <s v=""/>
    <m/>
    <s v=""/>
    <x v="4"/>
    <s v=""/>
    <s v=""/>
    <s v=""/>
    <m/>
    <n v="0"/>
    <m/>
    <m/>
    <m/>
    <m/>
    <m/>
    <m/>
  </r>
  <r>
    <n v="181"/>
    <s v="Implementación RAN"/>
    <s v="SNC-181"/>
    <x v="8"/>
    <m/>
    <m/>
    <x v="12"/>
    <m/>
    <m/>
    <m/>
    <s v=""/>
    <m/>
    <s v=""/>
    <x v="4"/>
    <s v=""/>
    <s v=""/>
    <s v=""/>
    <m/>
    <n v="0"/>
    <m/>
    <m/>
    <m/>
    <m/>
    <m/>
    <m/>
  </r>
  <r>
    <n v="182"/>
    <s v="Implementación RAN"/>
    <s v="SNC-182"/>
    <x v="8"/>
    <m/>
    <m/>
    <x v="12"/>
    <m/>
    <m/>
    <m/>
    <s v=""/>
    <m/>
    <s v=""/>
    <x v="4"/>
    <s v=""/>
    <s v=""/>
    <s v=""/>
    <m/>
    <n v="0"/>
    <m/>
    <m/>
    <m/>
    <m/>
    <m/>
    <m/>
  </r>
  <r>
    <n v="183"/>
    <s v="Implementación RAN"/>
    <s v="SNC-183"/>
    <x v="8"/>
    <m/>
    <m/>
    <x v="12"/>
    <m/>
    <m/>
    <m/>
    <s v=""/>
    <m/>
    <s v=""/>
    <x v="4"/>
    <s v=""/>
    <s v=""/>
    <s v=""/>
    <m/>
    <n v="0"/>
    <m/>
    <m/>
    <m/>
    <m/>
    <m/>
    <m/>
  </r>
  <r>
    <n v="184"/>
    <s v="Implementación RAN"/>
    <s v="SNC-184"/>
    <x v="8"/>
    <m/>
    <m/>
    <x v="12"/>
    <m/>
    <m/>
    <m/>
    <s v=""/>
    <m/>
    <s v=""/>
    <x v="4"/>
    <s v=""/>
    <s v=""/>
    <s v=""/>
    <m/>
    <n v="0"/>
    <m/>
    <m/>
    <m/>
    <m/>
    <m/>
    <m/>
  </r>
  <r>
    <n v="185"/>
    <s v="Implementación RAN"/>
    <s v="SNC-185"/>
    <x v="8"/>
    <m/>
    <m/>
    <x v="12"/>
    <m/>
    <m/>
    <m/>
    <s v=""/>
    <m/>
    <s v=""/>
    <x v="4"/>
    <s v=""/>
    <s v=""/>
    <s v=""/>
    <m/>
    <n v="0"/>
    <m/>
    <m/>
    <m/>
    <m/>
    <m/>
    <m/>
  </r>
  <r>
    <n v="186"/>
    <s v="Implementación RAN"/>
    <s v="SNC-186"/>
    <x v="8"/>
    <m/>
    <m/>
    <x v="12"/>
    <m/>
    <m/>
    <m/>
    <s v=""/>
    <m/>
    <s v=""/>
    <x v="4"/>
    <s v=""/>
    <s v=""/>
    <s v=""/>
    <m/>
    <n v="0"/>
    <m/>
    <m/>
    <m/>
    <m/>
    <m/>
    <m/>
  </r>
  <r>
    <n v="187"/>
    <s v="Implementación RAN"/>
    <s v="SNC-187"/>
    <x v="8"/>
    <m/>
    <m/>
    <x v="12"/>
    <m/>
    <m/>
    <m/>
    <s v=""/>
    <m/>
    <s v=""/>
    <x v="4"/>
    <s v=""/>
    <s v=""/>
    <s v=""/>
    <m/>
    <n v="0"/>
    <m/>
    <m/>
    <m/>
    <m/>
    <m/>
    <m/>
  </r>
  <r>
    <n v="188"/>
    <s v="Implementación RAN"/>
    <s v="SNC-188"/>
    <x v="8"/>
    <m/>
    <m/>
    <x v="12"/>
    <m/>
    <m/>
    <m/>
    <s v=""/>
    <m/>
    <s v=""/>
    <x v="4"/>
    <s v=""/>
    <s v=""/>
    <s v=""/>
    <m/>
    <n v="0"/>
    <m/>
    <m/>
    <m/>
    <m/>
    <m/>
    <m/>
  </r>
  <r>
    <n v="189"/>
    <s v="Implementación RAN"/>
    <s v="SNC-189"/>
    <x v="8"/>
    <m/>
    <m/>
    <x v="12"/>
    <m/>
    <m/>
    <m/>
    <s v=""/>
    <m/>
    <s v=""/>
    <x v="4"/>
    <s v=""/>
    <s v=""/>
    <s v=""/>
    <m/>
    <n v="0"/>
    <m/>
    <m/>
    <m/>
    <m/>
    <m/>
    <m/>
  </r>
  <r>
    <n v="190"/>
    <s v="Implementación RAN"/>
    <s v="SNC-190"/>
    <x v="8"/>
    <m/>
    <m/>
    <x v="12"/>
    <m/>
    <m/>
    <m/>
    <s v=""/>
    <m/>
    <s v=""/>
    <x v="4"/>
    <s v=""/>
    <s v=""/>
    <s v=""/>
    <m/>
    <n v="0"/>
    <m/>
    <m/>
    <m/>
    <m/>
    <m/>
    <m/>
  </r>
  <r>
    <n v="191"/>
    <s v="Implementación RAN"/>
    <s v="SNC-191"/>
    <x v="8"/>
    <m/>
    <m/>
    <x v="12"/>
    <m/>
    <m/>
    <m/>
    <s v=""/>
    <m/>
    <s v=""/>
    <x v="4"/>
    <s v=""/>
    <s v=""/>
    <s v=""/>
    <m/>
    <n v="0"/>
    <m/>
    <m/>
    <m/>
    <m/>
    <m/>
    <m/>
  </r>
  <r>
    <n v="192"/>
    <s v="Implementación RAN"/>
    <s v="SNC-192"/>
    <x v="8"/>
    <m/>
    <m/>
    <x v="12"/>
    <m/>
    <m/>
    <m/>
    <s v=""/>
    <m/>
    <s v=""/>
    <x v="4"/>
    <s v=""/>
    <s v=""/>
    <s v=""/>
    <m/>
    <n v="0"/>
    <m/>
    <m/>
    <m/>
    <m/>
    <m/>
    <m/>
  </r>
  <r>
    <n v="193"/>
    <s v="Implementación RAN"/>
    <s v="SNC-193"/>
    <x v="8"/>
    <m/>
    <m/>
    <x v="12"/>
    <m/>
    <m/>
    <m/>
    <s v=""/>
    <m/>
    <s v=""/>
    <x v="4"/>
    <s v=""/>
    <s v=""/>
    <s v=""/>
    <m/>
    <n v="0"/>
    <m/>
    <m/>
    <m/>
    <m/>
    <m/>
    <m/>
  </r>
  <r>
    <n v="194"/>
    <s v="Implementación RAN"/>
    <s v="SNC-194"/>
    <x v="8"/>
    <m/>
    <m/>
    <x v="12"/>
    <m/>
    <m/>
    <m/>
    <s v=""/>
    <m/>
    <s v=""/>
    <x v="4"/>
    <s v=""/>
    <s v=""/>
    <s v=""/>
    <m/>
    <n v="0"/>
    <m/>
    <m/>
    <m/>
    <m/>
    <m/>
    <m/>
  </r>
  <r>
    <n v="195"/>
    <s v="Implementación RAN"/>
    <s v="SNC-195"/>
    <x v="8"/>
    <m/>
    <m/>
    <x v="12"/>
    <m/>
    <m/>
    <m/>
    <s v=""/>
    <m/>
    <s v=""/>
    <x v="4"/>
    <s v=""/>
    <s v=""/>
    <s v=""/>
    <m/>
    <n v="0"/>
    <m/>
    <m/>
    <m/>
    <m/>
    <m/>
    <m/>
  </r>
  <r>
    <n v="196"/>
    <s v="Implementación RAN"/>
    <s v="SNC-196"/>
    <x v="8"/>
    <m/>
    <m/>
    <x v="12"/>
    <m/>
    <m/>
    <m/>
    <s v=""/>
    <m/>
    <s v=""/>
    <x v="4"/>
    <s v=""/>
    <s v=""/>
    <s v=""/>
    <m/>
    <n v="0"/>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2189C9-4E61-4B99-97E1-3DE17A299819}" name="TablaDinámica5" cacheId="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9" rowHeaderCaption="Proyectos">
  <location ref="BU4:CH14" firstHeaderRow="1" firstDataRow="2" firstDataCol="1"/>
  <pivotFields count="26">
    <pivotField showAll="0"/>
    <pivotField showAll="0"/>
    <pivotField showAll="0"/>
    <pivotField showAll="0">
      <items count="11">
        <item x="0"/>
        <item x="3"/>
        <item x="2"/>
        <item x="1"/>
        <item h="1" x="8"/>
        <item h="1" m="1" x="9"/>
        <item h="1" x="4"/>
        <item h="1" x="7"/>
        <item h="1" x="5"/>
        <item h="1" x="6"/>
        <item t="default"/>
      </items>
    </pivotField>
    <pivotField dataField="1" showAll="0"/>
    <pivotField showAll="0"/>
    <pivotField axis="axisCol" showAll="0">
      <items count="14">
        <item x="2"/>
        <item x="1"/>
        <item x="0"/>
        <item h="1" x="1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1"/>
        <item x="0"/>
        <item x="2"/>
        <item x="3"/>
        <item x="4"/>
        <item x="5"/>
        <item x="6"/>
        <item x="7"/>
        <item x="8"/>
        <item t="default"/>
      </items>
    </pivotField>
  </pivotFields>
  <rowFields count="1">
    <field x="25"/>
  </rowFields>
  <rowItems count="9">
    <i>
      <x/>
    </i>
    <i>
      <x v="1"/>
    </i>
    <i>
      <x v="2"/>
    </i>
    <i>
      <x v="3"/>
    </i>
    <i>
      <x v="4"/>
    </i>
    <i>
      <x v="5"/>
    </i>
    <i>
      <x v="6"/>
    </i>
    <i>
      <x v="7"/>
    </i>
    <i t="grand">
      <x/>
    </i>
  </rowItems>
  <colFields count="1">
    <field x="6"/>
  </colFields>
  <colItems count="13">
    <i>
      <x/>
    </i>
    <i>
      <x v="1"/>
    </i>
    <i>
      <x v="2"/>
    </i>
    <i>
      <x v="4"/>
    </i>
    <i>
      <x v="5"/>
    </i>
    <i>
      <x v="6"/>
    </i>
    <i>
      <x v="7"/>
    </i>
    <i>
      <x v="8"/>
    </i>
    <i>
      <x v="9"/>
    </i>
    <i>
      <x v="10"/>
    </i>
    <i>
      <x v="11"/>
    </i>
    <i>
      <x v="12"/>
    </i>
    <i t="grand">
      <x/>
    </i>
  </colItems>
  <dataFields count="1">
    <dataField name="Cuenta de Site" fld="4" subtotal="count" baseField="0" baseItem="0"/>
  </dataFields>
  <formats count="8">
    <format dxfId="7">
      <pivotArea outline="0" collapsedLevelsAreSubtotals="1" fieldPosition="0"/>
    </format>
    <format dxfId="6">
      <pivotArea dataOnly="0" labelOnly="1" outline="0" axis="axisValues" fieldPosition="0"/>
    </format>
    <format dxfId="5">
      <pivotArea field="3" type="button" dataOnly="0" labelOnly="1" outline="0"/>
    </format>
    <format dxfId="4">
      <pivotArea collapsedLevelsAreSubtotals="1" fieldPosition="0">
        <references count="1">
          <reference field="6" count="0"/>
        </references>
      </pivotArea>
    </format>
    <format dxfId="3">
      <pivotArea dataOnly="0" labelOnly="1" fieldPosition="0">
        <references count="1">
          <reference field="6" count="0"/>
        </references>
      </pivotArea>
    </format>
    <format dxfId="2">
      <pivotArea outline="0" collapsedLevelsAreSubtotals="1" fieldPosition="0"/>
    </format>
    <format dxfId="1">
      <pivotArea dataOnly="0" labelOnly="1" fieldPosition="0">
        <references count="1">
          <reference field="25" count="8">
            <x v="0"/>
            <x v="1"/>
            <x v="2"/>
            <x v="3"/>
            <x v="4"/>
            <x v="5"/>
            <x v="6"/>
            <x v="7"/>
          </reference>
        </references>
      </pivotArea>
    </format>
    <format dxfId="0">
      <pivotArea dataOnly="0" labelOnly="1" grandRow="1" outline="0" fieldPosition="0"/>
    </format>
  </formats>
  <chartFormats count="12">
    <chartFormat chart="8" format="0" series="1">
      <pivotArea type="data" outline="0" fieldPosition="0">
        <references count="2">
          <reference field="4294967294" count="1" selected="0">
            <x v="0"/>
          </reference>
          <reference field="6" count="1" selected="0">
            <x v="0"/>
          </reference>
        </references>
      </pivotArea>
    </chartFormat>
    <chartFormat chart="8" format="1" series="1">
      <pivotArea type="data" outline="0" fieldPosition="0">
        <references count="2">
          <reference field="4294967294" count="1" selected="0">
            <x v="0"/>
          </reference>
          <reference field="6" count="1" selected="0">
            <x v="1"/>
          </reference>
        </references>
      </pivotArea>
    </chartFormat>
    <chartFormat chart="8" format="2" series="1">
      <pivotArea type="data" outline="0" fieldPosition="0">
        <references count="2">
          <reference field="4294967294" count="1" selected="0">
            <x v="0"/>
          </reference>
          <reference field="6" count="1" selected="0">
            <x v="2"/>
          </reference>
        </references>
      </pivotArea>
    </chartFormat>
    <chartFormat chart="8" format="3" series="1">
      <pivotArea type="data" outline="0" fieldPosition="0">
        <references count="2">
          <reference field="4294967294" count="1" selected="0">
            <x v="0"/>
          </reference>
          <reference field="6" count="1" selected="0">
            <x v="4"/>
          </reference>
        </references>
      </pivotArea>
    </chartFormat>
    <chartFormat chart="8" format="4" series="1">
      <pivotArea type="data" outline="0" fieldPosition="0">
        <references count="2">
          <reference field="4294967294" count="1" selected="0">
            <x v="0"/>
          </reference>
          <reference field="6" count="1" selected="0">
            <x v="5"/>
          </reference>
        </references>
      </pivotArea>
    </chartFormat>
    <chartFormat chart="8" format="5" series="1">
      <pivotArea type="data" outline="0" fieldPosition="0">
        <references count="2">
          <reference field="4294967294" count="1" selected="0">
            <x v="0"/>
          </reference>
          <reference field="6" count="1" selected="0">
            <x v="6"/>
          </reference>
        </references>
      </pivotArea>
    </chartFormat>
    <chartFormat chart="8" format="6" series="1">
      <pivotArea type="data" outline="0" fieldPosition="0">
        <references count="2">
          <reference field="4294967294" count="1" selected="0">
            <x v="0"/>
          </reference>
          <reference field="6" count="1" selected="0">
            <x v="7"/>
          </reference>
        </references>
      </pivotArea>
    </chartFormat>
    <chartFormat chart="8" format="7" series="1">
      <pivotArea type="data" outline="0" fieldPosition="0">
        <references count="2">
          <reference field="4294967294" count="1" selected="0">
            <x v="0"/>
          </reference>
          <reference field="6" count="1" selected="0">
            <x v="8"/>
          </reference>
        </references>
      </pivotArea>
    </chartFormat>
    <chartFormat chart="8" format="8" series="1">
      <pivotArea type="data" outline="0" fieldPosition="0">
        <references count="2">
          <reference field="4294967294" count="1" selected="0">
            <x v="0"/>
          </reference>
          <reference field="6" count="1" selected="0">
            <x v="9"/>
          </reference>
        </references>
      </pivotArea>
    </chartFormat>
    <chartFormat chart="8" format="9" series="1">
      <pivotArea type="data" outline="0" fieldPosition="0">
        <references count="2">
          <reference field="4294967294" count="1" selected="0">
            <x v="0"/>
          </reference>
          <reference field="6" count="1" selected="0">
            <x v="10"/>
          </reference>
        </references>
      </pivotArea>
    </chartFormat>
    <chartFormat chart="8" format="10" series="1">
      <pivotArea type="data" outline="0" fieldPosition="0">
        <references count="2">
          <reference field="4294967294" count="1" selected="0">
            <x v="0"/>
          </reference>
          <reference field="6" count="1" selected="0">
            <x v="11"/>
          </reference>
        </references>
      </pivotArea>
    </chartFormat>
    <chartFormat chart="8" format="11" series="1">
      <pivotArea type="data" outline="0" fieldPosition="0">
        <references count="2">
          <reference field="4294967294" count="1" selected="0">
            <x v="0"/>
          </reference>
          <reference field="6"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994F5E-C971-45C3-8BD7-C2AAC477A842}" name="TablaDinámica9" cacheId="2"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2" rowHeaderCaption="Proyectos">
  <location ref="BA4:BB13" firstHeaderRow="1" firstDataRow="1" firstDataCol="1"/>
  <pivotFields count="25">
    <pivotField showAll="0"/>
    <pivotField showAll="0"/>
    <pivotField dataField="1" showAll="0"/>
    <pivotField axis="axisRow" showAll="0">
      <items count="13">
        <item x="0"/>
        <item x="3"/>
        <item x="2"/>
        <item x="1"/>
        <item h="1" x="8"/>
        <item m="1" x="11"/>
        <item m="1" x="10"/>
        <item m="1" x="9"/>
        <item x="4"/>
        <item x="7"/>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9">
    <i>
      <x/>
    </i>
    <i>
      <x v="1"/>
    </i>
    <i>
      <x v="2"/>
    </i>
    <i>
      <x v="3"/>
    </i>
    <i>
      <x v="8"/>
    </i>
    <i>
      <x v="9"/>
    </i>
    <i>
      <x v="10"/>
    </i>
    <i>
      <x v="11"/>
    </i>
    <i t="grand">
      <x/>
    </i>
  </rowItems>
  <colItems count="1">
    <i/>
  </colItems>
  <dataFields count="1">
    <dataField name="SNC" fld="2" subtotal="count" baseField="0" baseItem="0"/>
  </dataFields>
  <formats count="3">
    <format dxfId="10">
      <pivotArea outline="0" collapsedLevelsAreSubtotals="1" fieldPosition="0"/>
    </format>
    <format dxfId="9">
      <pivotArea dataOnly="0" labelOnly="1" outline="0" axis="axisValues" fieldPosition="0"/>
    </format>
    <format dxfId="8">
      <pivotArea field="3" type="button" dataOnly="0" labelOnly="1" outline="0" axis="axisRow"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0F24F7-6C1A-4533-AD12-CCB26D5EA8C7}" name="TablaDinámica1" cacheId="2"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4" rowHeaderCaption="Proyectos">
  <location ref="B4:C13" firstHeaderRow="1" firstDataRow="1" firstDataCol="1"/>
  <pivotFields count="25">
    <pivotField showAll="0"/>
    <pivotField showAll="0"/>
    <pivotField dataField="1" showAll="0"/>
    <pivotField axis="axisRow" showAll="0">
      <items count="13">
        <item x="0"/>
        <item x="3"/>
        <item x="2"/>
        <item x="1"/>
        <item h="1" x="8"/>
        <item m="1" x="11"/>
        <item m="1" x="10"/>
        <item m="1" x="9"/>
        <item x="4"/>
        <item x="7"/>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9">
    <i>
      <x/>
    </i>
    <i>
      <x v="1"/>
    </i>
    <i>
      <x v="2"/>
    </i>
    <i>
      <x v="3"/>
    </i>
    <i>
      <x v="8"/>
    </i>
    <i>
      <x v="9"/>
    </i>
    <i>
      <x v="10"/>
    </i>
    <i>
      <x v="11"/>
    </i>
    <i t="grand">
      <x/>
    </i>
  </rowItems>
  <colItems count="1">
    <i/>
  </colItems>
  <dataFields count="1">
    <dataField name="SNC" fld="2" subtotal="count" baseField="0" baseItem="0"/>
  </dataFields>
  <formats count="3">
    <format dxfId="13">
      <pivotArea outline="0" collapsedLevelsAreSubtotals="1" fieldPosition="0"/>
    </format>
    <format dxfId="12">
      <pivotArea dataOnly="0" labelOnly="1" outline="0" axis="axisValues" fieldPosition="0"/>
    </format>
    <format dxfId="11">
      <pivotArea field="3" type="button" dataOnly="0" labelOnly="1" outline="0" axis="axisRow" fieldPosition="0"/>
    </format>
  </format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7"/>
          </reference>
        </references>
      </pivotArea>
    </chartFormat>
    <chartFormat chart="1" format="6">
      <pivotArea type="data" outline="0" fieldPosition="0">
        <references count="2">
          <reference field="4294967294" count="1" selected="0">
            <x v="0"/>
          </reference>
          <reference field="3" count="1" selected="0">
            <x v="8"/>
          </reference>
        </references>
      </pivotArea>
    </chartFormat>
    <chartFormat chart="1" format="7">
      <pivotArea type="data" outline="0" fieldPosition="0">
        <references count="2">
          <reference field="4294967294" count="1" selected="0">
            <x v="0"/>
          </reference>
          <reference field="3" count="1" selected="0">
            <x v="9"/>
          </reference>
        </references>
      </pivotArea>
    </chartFormat>
    <chartFormat chart="1" format="8">
      <pivotArea type="data" outline="0" fieldPosition="0">
        <references count="2">
          <reference field="4294967294" count="1" selected="0">
            <x v="0"/>
          </reference>
          <reference field="3" count="1" selected="0">
            <x v="10"/>
          </reference>
        </references>
      </pivotArea>
    </chartFormat>
    <chartFormat chart="1" format="9">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1E379F-0D38-49C1-B43E-A46E8F7940F8}" name="TablaDinámica4" cacheId="2" applyNumberFormats="0" applyBorderFormats="0" applyFontFormats="0" applyPatternFormats="0" applyAlignmentFormats="0" applyWidthHeightFormats="1" dataCaption="Valores" updatedVersion="6" minRefreshableVersion="3" useAutoFormatting="1" itemPrintTitles="1" createdVersion="6" indent="0" compact="0" compactData="0" gridDropZones="1" multipleFieldFilters="0" chartFormat="21" rowHeaderCaption="Proyectos">
  <location ref="X4:Y18" firstHeaderRow="2" firstDataRow="2" firstDataCol="1"/>
  <pivotFields count="25">
    <pivotField compact="0" outline="0" showAll="0"/>
    <pivotField compact="0" outline="0" showAll="0"/>
    <pivotField compact="0" outline="0" showAll="0"/>
    <pivotField compact="0" outline="0" showAll="0" defaultSubtotal="0">
      <items count="12">
        <item x="0"/>
        <item x="3"/>
        <item x="2"/>
        <item x="1"/>
        <item h="1" x="8"/>
        <item h="1" m="1" x="11"/>
        <item h="1" m="1" x="10"/>
        <item h="1" m="1" x="9"/>
        <item h="1" x="4"/>
        <item h="1" x="7"/>
        <item h="1" x="5"/>
        <item h="1" x="6"/>
      </items>
    </pivotField>
    <pivotField compact="0" outline="0" showAll="0"/>
    <pivotField compact="0" outline="0" showAll="0"/>
    <pivotField axis="axisRow" compact="0" outline="0" showAll="0">
      <items count="15">
        <item x="2"/>
        <item x="1"/>
        <item x="0"/>
        <item h="1" x="12"/>
        <item x="3"/>
        <item m="1" x="1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1">
    <field x="6"/>
  </rowFields>
  <rowItems count="13">
    <i>
      <x/>
    </i>
    <i>
      <x v="1"/>
    </i>
    <i>
      <x v="2"/>
    </i>
    <i>
      <x v="4"/>
    </i>
    <i>
      <x v="6"/>
    </i>
    <i>
      <x v="7"/>
    </i>
    <i>
      <x v="8"/>
    </i>
    <i>
      <x v="9"/>
    </i>
    <i>
      <x v="10"/>
    </i>
    <i>
      <x v="11"/>
    </i>
    <i>
      <x v="12"/>
    </i>
    <i>
      <x v="13"/>
    </i>
    <i t="grand">
      <x/>
    </i>
  </rowItems>
  <colItems count="1">
    <i/>
  </colItems>
  <dataFields count="1">
    <dataField name="Suma de Monto de la Penalidad (Soles)" fld="22" baseField="0" baseItem="0"/>
  </dataFields>
  <formats count="10">
    <format dxfId="23">
      <pivotArea outline="0" collapsedLevelsAreSubtotals="1" fieldPosition="0"/>
    </format>
    <format dxfId="22">
      <pivotArea dataOnly="0" labelOnly="1" outline="0" axis="axisValues" fieldPosition="0"/>
    </format>
    <format dxfId="21">
      <pivotArea field="3" type="button" dataOnly="0" labelOnly="1" outline="0"/>
    </format>
    <format dxfId="20">
      <pivotArea outline="0" fieldPosition="0">
        <references count="1">
          <reference field="6" count="1" selected="0">
            <x v="1"/>
          </reference>
        </references>
      </pivotArea>
    </format>
    <format dxfId="19">
      <pivotArea outline="0" fieldPosition="0">
        <references count="1">
          <reference field="6" count="1" selected="0">
            <x v="0"/>
          </reference>
        </references>
      </pivotArea>
    </format>
    <format dxfId="18">
      <pivotArea outline="0" fieldPosition="0">
        <references count="1">
          <reference field="6" count="1" selected="0">
            <x v="2"/>
          </reference>
        </references>
      </pivotArea>
    </format>
    <format dxfId="17">
      <pivotArea grandRow="1" outline="0" collapsedLevelsAreSubtotals="1" fieldPosition="0"/>
    </format>
    <format dxfId="16">
      <pivotArea outline="0" fieldPosition="0">
        <references count="1">
          <reference field="6" count="1" selected="0">
            <x v="4"/>
          </reference>
        </references>
      </pivotArea>
    </format>
    <format dxfId="15">
      <pivotArea outline="0" fieldPosition="0">
        <references count="1">
          <reference field="6" count="1" selected="0">
            <x v="6"/>
          </reference>
        </references>
      </pivotArea>
    </format>
    <format dxfId="14">
      <pivotArea outline="0" fieldPosition="0">
        <references count="1">
          <reference field="6" count="1" selected="0">
            <x v="7"/>
          </reference>
        </references>
      </pivotArea>
    </format>
  </formats>
  <chartFormats count="3">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6" count="1" selected="0">
            <x v="1"/>
          </reference>
        </references>
      </pivotArea>
    </chartFormat>
    <chartFormat chart="18" format="2">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560877-17F5-4455-BC8C-7274E05B8C37}" name="TablaDinámica11" cacheId="2"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8" rowHeaderCaption="Proyectos">
  <location ref="BK4:BP18" firstHeaderRow="1" firstDataRow="2" firstDataCol="1"/>
  <pivotFields count="25">
    <pivotField showAll="0"/>
    <pivotField showAll="0"/>
    <pivotField showAll="0"/>
    <pivotField showAll="0">
      <items count="13">
        <item x="0"/>
        <item x="3"/>
        <item x="2"/>
        <item x="1"/>
        <item h="1" x="8"/>
        <item h="1" m="1" x="11"/>
        <item h="1" m="1" x="10"/>
        <item h="1" m="1" x="9"/>
        <item h="1" x="4"/>
        <item h="1" x="7"/>
        <item h="1" x="5"/>
        <item h="1" x="6"/>
        <item t="default"/>
      </items>
    </pivotField>
    <pivotField dataField="1" showAll="0"/>
    <pivotField showAll="0"/>
    <pivotField axis="axisRow" showAll="0">
      <items count="15">
        <item x="2"/>
        <item x="1"/>
        <item x="0"/>
        <item h="1" x="12"/>
        <item x="3"/>
        <item m="1" x="13"/>
        <item x="4"/>
        <item x="5"/>
        <item x="6"/>
        <item x="7"/>
        <item x="8"/>
        <item x="9"/>
        <item x="10"/>
        <item x="11"/>
        <item t="default"/>
      </items>
    </pivotField>
    <pivotField showAll="0"/>
    <pivotField showAll="0"/>
    <pivotField showAll="0"/>
    <pivotField showAll="0"/>
    <pivotField showAll="0"/>
    <pivotField showAll="0"/>
    <pivotField axis="axisCol" showAll="0">
      <items count="6">
        <item x="4"/>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3">
    <i>
      <x/>
    </i>
    <i>
      <x v="1"/>
    </i>
    <i>
      <x v="2"/>
    </i>
    <i>
      <x v="4"/>
    </i>
    <i>
      <x v="6"/>
    </i>
    <i>
      <x v="7"/>
    </i>
    <i>
      <x v="8"/>
    </i>
    <i>
      <x v="9"/>
    </i>
    <i>
      <x v="10"/>
    </i>
    <i>
      <x v="11"/>
    </i>
    <i>
      <x v="12"/>
    </i>
    <i>
      <x v="13"/>
    </i>
    <i t="grand">
      <x/>
    </i>
  </rowItems>
  <colFields count="1">
    <field x="13"/>
  </colFields>
  <colItems count="5">
    <i>
      <x v="1"/>
    </i>
    <i>
      <x v="2"/>
    </i>
    <i>
      <x v="3"/>
    </i>
    <i>
      <x v="4"/>
    </i>
    <i t="grand">
      <x/>
    </i>
  </colItems>
  <dataFields count="1">
    <dataField name="Cuenta de Site" fld="4" subtotal="count" baseField="0" baseItem="0"/>
  </dataFields>
  <formats count="5">
    <format dxfId="28">
      <pivotArea outline="0" collapsedLevelsAreSubtotals="1" fieldPosition="0"/>
    </format>
    <format dxfId="27">
      <pivotArea dataOnly="0" labelOnly="1" outline="0" axis="axisValues" fieldPosition="0"/>
    </format>
    <format dxfId="26">
      <pivotArea field="3" type="button" dataOnly="0" labelOnly="1" outline="0"/>
    </format>
    <format dxfId="25">
      <pivotArea collapsedLevelsAreSubtotals="1" fieldPosition="0">
        <references count="1">
          <reference field="6" count="0"/>
        </references>
      </pivotArea>
    </format>
    <format dxfId="24">
      <pivotArea dataOnly="0" labelOnly="1" fieldPosition="0">
        <references count="1">
          <reference field="6" count="0"/>
        </references>
      </pivotArea>
    </format>
  </formats>
  <chartFormats count="5">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2"/>
          </reference>
        </references>
      </pivotArea>
    </chartFormat>
    <chartFormat chart="5" format="2" series="1">
      <pivotArea type="data" outline="0" fieldPosition="0">
        <references count="2">
          <reference field="4294967294" count="1" selected="0">
            <x v="0"/>
          </reference>
          <reference field="13" count="1" selected="0">
            <x v="1"/>
          </reference>
        </references>
      </pivotArea>
    </chartFormat>
    <chartFormat chart="5" format="3" series="1">
      <pivotArea type="data" outline="0" fieldPosition="0">
        <references count="2">
          <reference field="4294967294" count="1" selected="0">
            <x v="0"/>
          </reference>
          <reference field="13" count="1" selected="0">
            <x v="3"/>
          </reference>
        </references>
      </pivotArea>
    </chartFormat>
    <chartFormat chart="5" format="4" series="1">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236206-38F5-4961-A5E2-07EBE38B9BFE}" name="TablaDinámica10" cacheId="2"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10" rowHeaderCaption="Proyectos">
  <location ref="BD4:BF9" firstHeaderRow="0" firstDataRow="1" firstDataCol="1" rowPageCount="1" colPageCount="1"/>
  <pivotFields count="25">
    <pivotField showAll="0"/>
    <pivotField showAll="0"/>
    <pivotField dataField="1" showAll="0"/>
    <pivotField axis="axisPage" multipleItemSelectionAllowed="1" showAll="0">
      <items count="13">
        <item x="0"/>
        <item x="3"/>
        <item x="2"/>
        <item x="1"/>
        <item h="1" x="8"/>
        <item h="1" m="1" x="11"/>
        <item h="1" m="1" x="10"/>
        <item m="1" x="9"/>
        <item x="4"/>
        <item x="7"/>
        <item x="5"/>
        <item x="6"/>
        <item t="default"/>
      </items>
    </pivotField>
    <pivotField dataField="1" showAll="0"/>
    <pivotField showAll="0"/>
    <pivotField showAll="0"/>
    <pivotField showAll="0"/>
    <pivotField showAll="0"/>
    <pivotField showAll="0"/>
    <pivotField showAll="0"/>
    <pivotField showAll="0"/>
    <pivotField showAll="0"/>
    <pivotField axis="axisRow" showAll="0">
      <items count="6">
        <item x="4"/>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v="1"/>
    </i>
    <i>
      <x v="2"/>
    </i>
    <i>
      <x v="3"/>
    </i>
    <i>
      <x v="4"/>
    </i>
    <i t="grand">
      <x/>
    </i>
  </rowItems>
  <colFields count="1">
    <field x="-2"/>
  </colFields>
  <colItems count="2">
    <i>
      <x/>
    </i>
    <i i="1">
      <x v="1"/>
    </i>
  </colItems>
  <pageFields count="1">
    <pageField fld="3" hier="-1"/>
  </pageFields>
  <dataFields count="2">
    <dataField name="SNC" fld="2" subtotal="count" baseField="0" baseItem="0"/>
    <dataField name="Sites" fld="4" subtotal="count" baseField="0" baseItem="0"/>
  </dataFields>
  <formats count="6">
    <format dxfId="34">
      <pivotArea outline="0" collapsedLevelsAreSubtotals="1" fieldPosition="0"/>
    </format>
    <format dxfId="33">
      <pivotArea dataOnly="0" labelOnly="1" outline="0" axis="axisValues" fieldPosition="0"/>
    </format>
    <format dxfId="32">
      <pivotArea field="3" type="button" dataOnly="0" labelOnly="1" outline="0" axis="axisPage" fieldPosition="0"/>
    </format>
    <format dxfId="31">
      <pivotArea dataOnly="0" labelOnly="1" outline="0" fieldPosition="0">
        <references count="1">
          <reference field="4294967294" count="1">
            <x v="1"/>
          </reference>
        </references>
      </pivotArea>
    </format>
    <format dxfId="30">
      <pivotArea dataOnly="0" labelOnly="1" outline="0" fieldPosition="0">
        <references count="1">
          <reference field="4294967294" count="1">
            <x v="0"/>
          </reference>
        </references>
      </pivotArea>
    </format>
    <format dxfId="29">
      <pivotArea dataOnly="0" labelOnly="1" fieldPosition="0">
        <references count="1">
          <reference field="13" count="1">
            <x v="0"/>
          </reference>
        </references>
      </pivotArea>
    </format>
  </formats>
  <chartFormats count="13">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13" count="1" selected="0">
            <x v="0"/>
          </reference>
        </references>
      </pivotArea>
    </chartFormat>
    <chartFormat chart="3" format="3">
      <pivotArea type="data" outline="0" fieldPosition="0">
        <references count="2">
          <reference field="4294967294" count="1" selected="0">
            <x v="0"/>
          </reference>
          <reference field="13" count="1" selected="0">
            <x v="2"/>
          </reference>
        </references>
      </pivotArea>
    </chartFormat>
    <chartFormat chart="3" format="4">
      <pivotArea type="data" outline="0" fieldPosition="0">
        <references count="2">
          <reference field="4294967294" count="1" selected="0">
            <x v="0"/>
          </reference>
          <reference field="13" count="1" selected="0">
            <x v="1"/>
          </reference>
        </references>
      </pivotArea>
    </chartFormat>
    <chartFormat chart="3" format="5">
      <pivotArea type="data" outline="0" fieldPosition="0">
        <references count="2">
          <reference field="4294967294" count="1" selected="0">
            <x v="1"/>
          </reference>
          <reference field="13" count="1" selected="0">
            <x v="0"/>
          </reference>
        </references>
      </pivotArea>
    </chartFormat>
    <chartFormat chart="3" format="6">
      <pivotArea type="data" outline="0" fieldPosition="0">
        <references count="2">
          <reference field="4294967294" count="1" selected="0">
            <x v="1"/>
          </reference>
          <reference field="13" count="1" selected="0">
            <x v="2"/>
          </reference>
        </references>
      </pivotArea>
    </chartFormat>
    <chartFormat chart="3" format="7">
      <pivotArea type="data" outline="0" fieldPosition="0">
        <references count="2">
          <reference field="4294967294" count="1" selected="0">
            <x v="1"/>
          </reference>
          <reference field="13" count="1" selected="0">
            <x v="1"/>
          </reference>
        </references>
      </pivotArea>
    </chartFormat>
    <chartFormat chart="3" format="8">
      <pivotArea type="data" outline="0" fieldPosition="0">
        <references count="2">
          <reference field="4294967294" count="1" selected="0">
            <x v="0"/>
          </reference>
          <reference field="13" count="1" selected="0">
            <x v="3"/>
          </reference>
        </references>
      </pivotArea>
    </chartFormat>
    <chartFormat chart="3" format="9">
      <pivotArea type="data" outline="0" fieldPosition="0">
        <references count="2">
          <reference field="4294967294" count="1" selected="0">
            <x v="0"/>
          </reference>
          <reference field="13" count="1" selected="0">
            <x v="4"/>
          </reference>
        </references>
      </pivotArea>
    </chartFormat>
    <chartFormat chart="3" format="10">
      <pivotArea type="data" outline="0" fieldPosition="0">
        <references count="2">
          <reference field="4294967294" count="1" selected="0">
            <x v="1"/>
          </reference>
          <reference field="13" count="1" selected="0">
            <x v="3"/>
          </reference>
        </references>
      </pivotArea>
    </chartFormat>
    <chartFormat chart="3" format="11">
      <pivotArea type="data" outline="0" fieldPosition="0">
        <references count="2">
          <reference field="4294967294" count="1" selected="0">
            <x v="1"/>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076937-9F0C-4A35-BAC3-F6E6695B38C1}" name="TablaDinámica3" cacheId="2" applyNumberFormats="0" applyBorderFormats="0" applyFontFormats="0" applyPatternFormats="0" applyAlignmentFormats="0" applyWidthHeightFormats="1" dataCaption="Valores" updatedVersion="6" minRefreshableVersion="3" useAutoFormatting="1" itemPrintTitles="1" createdVersion="6" indent="0" compact="0" compactData="0" gridDropZones="1" multipleFieldFilters="0" chartFormat="17" rowHeaderCaption="Proyectos">
  <location ref="S4:V27" firstHeaderRow="1" firstDataRow="2" firstDataCol="2"/>
  <pivotFields count="25">
    <pivotField compact="0" outline="0" showAll="0"/>
    <pivotField compact="0" outline="0" showAll="0"/>
    <pivotField dataField="1" compact="0" outline="0" showAll="0"/>
    <pivotField axis="axisRow" compact="0" outline="0" showAll="0" defaultSubtotal="0">
      <items count="12">
        <item x="0"/>
        <item x="3"/>
        <item x="2"/>
        <item x="1"/>
        <item h="1" x="8"/>
        <item m="1" x="11"/>
        <item m="1" x="10"/>
        <item m="1" x="9"/>
        <item x="4"/>
        <item x="7"/>
        <item x="5"/>
        <item x="6"/>
      </items>
    </pivotField>
    <pivotField compact="0" outline="0" showAll="0"/>
    <pivotField compact="0" outline="0" showAll="0"/>
    <pivotField axis="axisRow" compact="0" outline="0" showAll="0">
      <items count="15">
        <item x="2"/>
        <item x="1"/>
        <item x="0"/>
        <item x="12"/>
        <item x="3"/>
        <item m="1" x="1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2">
    <field x="3"/>
    <field x="6"/>
  </rowFields>
  <rowItems count="22">
    <i>
      <x/>
      <x v="2"/>
    </i>
    <i>
      <x v="1"/>
      <x/>
    </i>
    <i>
      <x v="2"/>
      <x/>
    </i>
    <i r="1">
      <x v="2"/>
    </i>
    <i r="1">
      <x v="4"/>
    </i>
    <i r="1">
      <x v="6"/>
    </i>
    <i r="1">
      <x v="7"/>
    </i>
    <i r="1">
      <x v="8"/>
    </i>
    <i r="1">
      <x v="9"/>
    </i>
    <i r="1">
      <x v="10"/>
    </i>
    <i r="1">
      <x v="11"/>
    </i>
    <i r="1">
      <x v="12"/>
    </i>
    <i r="1">
      <x v="13"/>
    </i>
    <i>
      <x v="3"/>
      <x/>
    </i>
    <i r="1">
      <x v="1"/>
    </i>
    <i r="1">
      <x v="4"/>
    </i>
    <i>
      <x v="8"/>
      <x v="1"/>
    </i>
    <i r="1">
      <x v="4"/>
    </i>
    <i>
      <x v="9"/>
      <x v="4"/>
    </i>
    <i>
      <x v="10"/>
      <x v="2"/>
    </i>
    <i>
      <x v="11"/>
      <x v="8"/>
    </i>
    <i t="grand">
      <x/>
    </i>
  </rowItems>
  <colFields count="1">
    <field x="-2"/>
  </colFields>
  <colItems count="2">
    <i>
      <x/>
    </i>
    <i i="1">
      <x v="1"/>
    </i>
  </colItems>
  <dataFields count="2">
    <dataField name="Suma de Monto de la Penalidad (Soles)" fld="22" baseField="0" baseItem="0"/>
    <dataField name="SNC" fld="2" subtotal="count" baseField="0" baseItem="0"/>
  </dataFields>
  <formats count="3">
    <format dxfId="37">
      <pivotArea outline="0" collapsedLevelsAreSubtotals="1" fieldPosition="0"/>
    </format>
    <format dxfId="36">
      <pivotArea dataOnly="0" labelOnly="1" outline="0" axis="axisValues" fieldPosition="0"/>
    </format>
    <format dxfId="35">
      <pivotArea field="3" type="button" dataOnly="0" labelOnly="1" outline="0" axis="axisRow" fieldPosition="0"/>
    </format>
  </formats>
  <chartFormats count="3">
    <chartFormat chart="2" format="0" series="1">
      <pivotArea type="data" outline="0" fieldPosition="0">
        <references count="1">
          <reference field="4294967294" count="1" selected="0">
            <x v="1"/>
          </reference>
        </references>
      </pivotArea>
    </chartFormat>
    <chartFormat chart="2" format="1">
      <pivotArea type="data" outline="0" fieldPosition="0">
        <references count="3">
          <reference field="4294967294" count="1" selected="0">
            <x v="1"/>
          </reference>
          <reference field="3" count="1" selected="0">
            <x v="1"/>
          </reference>
          <reference field="6" count="1" selected="0">
            <x v="0"/>
          </reference>
        </references>
      </pivotArea>
    </chartFormat>
    <chartFormat chart="16" format="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8CBE4D-BFDA-4A87-B6F2-34AE26D20E1F}" name="TablaDinámica7"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9" rowHeaderCaption="Proyectos" colHeaderCaption=".">
  <location ref="CM4:CZ28" firstHeaderRow="1" firstDataRow="2" firstDataCol="1"/>
  <pivotFields count="27">
    <pivotField showAll="0"/>
    <pivotField showAll="0"/>
    <pivotField showAll="0"/>
    <pivotField axis="axisRow" showAll="0">
      <items count="11">
        <item x="0"/>
        <item x="3"/>
        <item x="2"/>
        <item x="1"/>
        <item x="8"/>
        <item m="1" x="9"/>
        <item x="4"/>
        <item x="7"/>
        <item x="5"/>
        <item x="6"/>
        <item t="default"/>
      </items>
    </pivotField>
    <pivotField dataField="1" showAll="0"/>
    <pivotField showAll="0"/>
    <pivotField axis="axisCol" showAll="0">
      <items count="14">
        <item x="2"/>
        <item x="1"/>
        <item x="0"/>
        <item x="1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sd="0" x="1"/>
        <item sd="0" x="0"/>
        <item sd="0" x="2"/>
        <item sd="0" x="3"/>
        <item sd="0" x="4"/>
        <item sd="0" x="5"/>
        <item sd="0" x="6"/>
        <item x="7"/>
        <item h="1" x="8"/>
        <item t="default"/>
      </items>
    </pivotField>
    <pivotField axis="axisRow" showAll="0">
      <items count="15">
        <item x="2"/>
        <item x="0"/>
        <item x="6"/>
        <item x="3"/>
        <item x="4"/>
        <item x="5"/>
        <item m="1" x="13"/>
        <item x="10"/>
        <item x="7"/>
        <item x="8"/>
        <item x="11"/>
        <item x="9"/>
        <item x="12"/>
        <item x="1"/>
        <item t="default"/>
      </items>
    </pivotField>
  </pivotFields>
  <rowFields count="3">
    <field x="25"/>
    <field x="3"/>
    <field x="26"/>
  </rowFields>
  <rowItems count="23">
    <i>
      <x/>
    </i>
    <i>
      <x v="1"/>
    </i>
    <i>
      <x v="2"/>
    </i>
    <i>
      <x v="3"/>
    </i>
    <i>
      <x v="4"/>
    </i>
    <i>
      <x v="5"/>
    </i>
    <i>
      <x v="6"/>
    </i>
    <i>
      <x v="7"/>
    </i>
    <i r="1">
      <x v="2"/>
    </i>
    <i r="2">
      <x/>
    </i>
    <i r="2">
      <x v="8"/>
    </i>
    <i r="2">
      <x v="10"/>
    </i>
    <i r="2">
      <x v="11"/>
    </i>
    <i r="1">
      <x v="3"/>
    </i>
    <i r="2">
      <x v="8"/>
    </i>
    <i r="1">
      <x v="6"/>
    </i>
    <i r="2">
      <x v="11"/>
    </i>
    <i r="1">
      <x v="7"/>
    </i>
    <i r="2">
      <x v="10"/>
    </i>
    <i r="1">
      <x v="8"/>
    </i>
    <i r="2">
      <x/>
    </i>
    <i r="2">
      <x v="3"/>
    </i>
    <i t="grand">
      <x/>
    </i>
  </rowItems>
  <colFields count="1">
    <field x="6"/>
  </colFields>
  <colItems count="13">
    <i>
      <x/>
    </i>
    <i>
      <x v="1"/>
    </i>
    <i>
      <x v="2"/>
    </i>
    <i>
      <x v="4"/>
    </i>
    <i>
      <x v="5"/>
    </i>
    <i>
      <x v="6"/>
    </i>
    <i>
      <x v="7"/>
    </i>
    <i>
      <x v="8"/>
    </i>
    <i>
      <x v="9"/>
    </i>
    <i>
      <x v="10"/>
    </i>
    <i>
      <x v="11"/>
    </i>
    <i>
      <x v="12"/>
    </i>
    <i t="grand">
      <x/>
    </i>
  </colItems>
  <dataFields count="1">
    <dataField name="Cuenta de Site" fld="4" subtotal="count" baseField="0" baseItem="0"/>
  </dataFields>
  <formats count="11">
    <format dxfId="48">
      <pivotArea outline="0" collapsedLevelsAreSubtotals="1" fieldPosition="0"/>
    </format>
    <format dxfId="47">
      <pivotArea dataOnly="0" labelOnly="1" outline="0" axis="axisValues" fieldPosition="0"/>
    </format>
    <format dxfId="46">
      <pivotArea field="3" type="button" dataOnly="0" labelOnly="1" outline="0" axis="axisRow" fieldPosition="1"/>
    </format>
    <format dxfId="45">
      <pivotArea collapsedLevelsAreSubtotals="1" fieldPosition="0">
        <references count="1">
          <reference field="6" count="0"/>
        </references>
      </pivotArea>
    </format>
    <format dxfId="44">
      <pivotArea dataOnly="0" labelOnly="1" fieldPosition="0">
        <references count="1">
          <reference field="6" count="0"/>
        </references>
      </pivotArea>
    </format>
    <format dxfId="43">
      <pivotArea outline="0" collapsedLevelsAreSubtotals="1" fieldPosition="0"/>
    </format>
    <format dxfId="42">
      <pivotArea dataOnly="0" labelOnly="1" grandRow="1" outline="0" fieldPosition="0"/>
    </format>
    <format dxfId="41">
      <pivotArea dataOnly="0" labelOnly="1" fieldPosition="0">
        <references count="1">
          <reference field="26" count="1">
            <x v="13"/>
          </reference>
        </references>
      </pivotArea>
    </format>
    <format dxfId="40">
      <pivotArea dataOnly="0" labelOnly="1" fieldPosition="0">
        <references count="1">
          <reference field="26" count="11">
            <x v="0"/>
            <x v="1"/>
            <x v="2"/>
            <x v="3"/>
            <x v="4"/>
            <x v="5"/>
            <x v="7"/>
            <x v="8"/>
            <x v="9"/>
            <x v="10"/>
            <x v="11"/>
          </reference>
        </references>
      </pivotArea>
    </format>
    <format dxfId="39">
      <pivotArea dataOnly="0" labelOnly="1" fieldPosition="0">
        <references count="1">
          <reference field="6" count="1">
            <x v="8"/>
          </reference>
        </references>
      </pivotArea>
    </format>
    <format dxfId="38">
      <pivotArea dataOnly="0" labelOnly="1" grandCol="1" outline="0" fieldPosition="0"/>
    </format>
  </formats>
  <chartFormats count="9">
    <chartFormat chart="8" format="0" series="1">
      <pivotArea type="data" outline="0" fieldPosition="0">
        <references count="2">
          <reference field="4294967294" count="1" selected="0">
            <x v="0"/>
          </reference>
          <reference field="6" count="1" selected="0">
            <x v="0"/>
          </reference>
        </references>
      </pivotArea>
    </chartFormat>
    <chartFormat chart="8" format="1" series="1">
      <pivotArea type="data" outline="0" fieldPosition="0">
        <references count="2">
          <reference field="4294967294" count="1" selected="0">
            <x v="0"/>
          </reference>
          <reference field="6" count="1" selected="0">
            <x v="1"/>
          </reference>
        </references>
      </pivotArea>
    </chartFormat>
    <chartFormat chart="8" format="2" series="1">
      <pivotArea type="data" outline="0" fieldPosition="0">
        <references count="2">
          <reference field="4294967294" count="1" selected="0">
            <x v="0"/>
          </reference>
          <reference field="6" count="1" selected="0">
            <x v="2"/>
          </reference>
        </references>
      </pivotArea>
    </chartFormat>
    <chartFormat chart="8" format="3" series="1">
      <pivotArea type="data" outline="0" fieldPosition="0">
        <references count="2">
          <reference field="4294967294" count="1" selected="0">
            <x v="0"/>
          </reference>
          <reference field="6" count="1" selected="0">
            <x v="4"/>
          </reference>
        </references>
      </pivotArea>
    </chartFormat>
    <chartFormat chart="8" format="4" series="1">
      <pivotArea type="data" outline="0" fieldPosition="0">
        <references count="2">
          <reference field="4294967294" count="1" selected="0">
            <x v="0"/>
          </reference>
          <reference field="6" count="1" selected="0">
            <x v="5"/>
          </reference>
        </references>
      </pivotArea>
    </chartFormat>
    <chartFormat chart="8" format="5" series="1">
      <pivotArea type="data" outline="0" fieldPosition="0">
        <references count="2">
          <reference field="4294967294" count="1" selected="0">
            <x v="0"/>
          </reference>
          <reference field="6" count="1" selected="0">
            <x v="6"/>
          </reference>
        </references>
      </pivotArea>
    </chartFormat>
    <chartFormat chart="8" format="6" series="1">
      <pivotArea type="data" outline="0" fieldPosition="0">
        <references count="2">
          <reference field="4294967294" count="1" selected="0">
            <x v="0"/>
          </reference>
          <reference field="6" count="1" selected="0">
            <x v="7"/>
          </reference>
        </references>
      </pivotArea>
    </chartFormat>
    <chartFormat chart="8" format="7" series="1">
      <pivotArea type="data" outline="0" fieldPosition="0">
        <references count="2">
          <reference field="4294967294" count="1" selected="0">
            <x v="0"/>
          </reference>
          <reference field="6" count="1" selected="0">
            <x v="8"/>
          </reference>
        </references>
      </pivotArea>
    </chartFormat>
    <chartFormat chart="8" format="8" series="1">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5C6AAF-2CE1-40F7-B195-BFBC155929DF}" name="TablaDinámica6" cacheId="2" applyNumberFormats="0" applyBorderFormats="0" applyFontFormats="0" applyPatternFormats="0" applyAlignmentFormats="0" applyWidthHeightFormats="1" dataCaption="Valores" updatedVersion="6" minRefreshableVersion="3" useAutoFormatting="1" itemPrintTitles="1" createdVersion="6" indent="0" compact="0" compactData="0" gridDropZones="1" multipleFieldFilters="0" chartFormat="21" rowHeaderCaption="Proyectos">
  <location ref="AC4:AD18" firstHeaderRow="2" firstDataRow="2" firstDataCol="1"/>
  <pivotFields count="25">
    <pivotField compact="0" outline="0" showAll="0"/>
    <pivotField compact="0" outline="0" showAll="0"/>
    <pivotField dataField="1" compact="0" outline="0" showAll="0"/>
    <pivotField compact="0" outline="0" showAll="0" defaultSubtotal="0">
      <items count="12">
        <item x="0"/>
        <item x="3"/>
        <item x="2"/>
        <item x="1"/>
        <item h="1" x="8"/>
        <item h="1" m="1" x="11"/>
        <item h="1" m="1" x="10"/>
        <item h="1" m="1" x="9"/>
        <item h="1" x="4"/>
        <item h="1" x="7"/>
        <item h="1" x="5"/>
        <item h="1" x="6"/>
      </items>
    </pivotField>
    <pivotField compact="0" outline="0" showAll="0"/>
    <pivotField compact="0" outline="0" showAll="0"/>
    <pivotField axis="axisRow" compact="0" outline="0" showAll="0">
      <items count="15">
        <item x="2"/>
        <item x="1"/>
        <item x="0"/>
        <item h="1" x="12"/>
        <item x="3"/>
        <item m="1" x="1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4"/>
    </i>
    <i>
      <x v="6"/>
    </i>
    <i>
      <x v="7"/>
    </i>
    <i>
      <x v="8"/>
    </i>
    <i>
      <x v="9"/>
    </i>
    <i>
      <x v="10"/>
    </i>
    <i>
      <x v="11"/>
    </i>
    <i>
      <x v="12"/>
    </i>
    <i>
      <x v="13"/>
    </i>
    <i t="grand">
      <x/>
    </i>
  </rowItems>
  <colItems count="1">
    <i/>
  </colItems>
  <dataFields count="1">
    <dataField name="Cuenta de ID_SNC" fld="2" subtotal="count" baseField="0" baseItem="0"/>
  </dataFields>
  <formats count="3">
    <format dxfId="51">
      <pivotArea outline="0" collapsedLevelsAreSubtotals="1" fieldPosition="0"/>
    </format>
    <format dxfId="50">
      <pivotArea dataOnly="0" labelOnly="1" outline="0" axis="axisValues" fieldPosition="0"/>
    </format>
    <format dxfId="49">
      <pivotArea field="3" type="button" dataOnly="0" labelOnly="1" outline="0"/>
    </format>
  </formats>
  <chartFormats count="13">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6" count="1" selected="0">
            <x v="0"/>
          </reference>
        </references>
      </pivotArea>
    </chartFormat>
    <chartFormat chart="18" format="2">
      <pivotArea type="data" outline="0" fieldPosition="0">
        <references count="2">
          <reference field="4294967294" count="1" selected="0">
            <x v="0"/>
          </reference>
          <reference field="6" count="1" selected="0">
            <x v="1"/>
          </reference>
        </references>
      </pivotArea>
    </chartFormat>
    <chartFormat chart="18" format="3">
      <pivotArea type="data" outline="0" fieldPosition="0">
        <references count="2">
          <reference field="4294967294" count="1" selected="0">
            <x v="0"/>
          </reference>
          <reference field="6" count="1" selected="0">
            <x v="2"/>
          </reference>
        </references>
      </pivotArea>
    </chartFormat>
    <chartFormat chart="18" format="4">
      <pivotArea type="data" outline="0" fieldPosition="0">
        <references count="2">
          <reference field="4294967294" count="1" selected="0">
            <x v="0"/>
          </reference>
          <reference field="6" count="1" selected="0">
            <x v="4"/>
          </reference>
        </references>
      </pivotArea>
    </chartFormat>
    <chartFormat chart="18" format="5">
      <pivotArea type="data" outline="0" fieldPosition="0">
        <references count="2">
          <reference field="4294967294" count="1" selected="0">
            <x v="0"/>
          </reference>
          <reference field="6" count="1" selected="0">
            <x v="6"/>
          </reference>
        </references>
      </pivotArea>
    </chartFormat>
    <chartFormat chart="18" format="6">
      <pivotArea type="data" outline="0" fieldPosition="0">
        <references count="2">
          <reference field="4294967294" count="1" selected="0">
            <x v="0"/>
          </reference>
          <reference field="6" count="1" selected="0">
            <x v="7"/>
          </reference>
        </references>
      </pivotArea>
    </chartFormat>
    <chartFormat chart="18" format="7">
      <pivotArea type="data" outline="0" fieldPosition="0">
        <references count="2">
          <reference field="4294967294" count="1" selected="0">
            <x v="0"/>
          </reference>
          <reference field="6" count="1" selected="0">
            <x v="8"/>
          </reference>
        </references>
      </pivotArea>
    </chartFormat>
    <chartFormat chart="18" format="8">
      <pivotArea type="data" outline="0" fieldPosition="0">
        <references count="2">
          <reference field="4294967294" count="1" selected="0">
            <x v="0"/>
          </reference>
          <reference field="6" count="1" selected="0">
            <x v="9"/>
          </reference>
        </references>
      </pivotArea>
    </chartFormat>
    <chartFormat chart="18" format="9">
      <pivotArea type="data" outline="0" fieldPosition="0">
        <references count="2">
          <reference field="4294967294" count="1" selected="0">
            <x v="0"/>
          </reference>
          <reference field="6" count="1" selected="0">
            <x v="10"/>
          </reference>
        </references>
      </pivotArea>
    </chartFormat>
    <chartFormat chart="18" format="10">
      <pivotArea type="data" outline="0" fieldPosition="0">
        <references count="2">
          <reference field="4294967294" count="1" selected="0">
            <x v="0"/>
          </reference>
          <reference field="6" count="1" selected="0">
            <x v="11"/>
          </reference>
        </references>
      </pivotArea>
    </chartFormat>
    <chartFormat chart="18" format="11">
      <pivotArea type="data" outline="0" fieldPosition="0">
        <references count="2">
          <reference field="4294967294" count="1" selected="0">
            <x v="0"/>
          </reference>
          <reference field="6" count="1" selected="0">
            <x v="12"/>
          </reference>
        </references>
      </pivotArea>
    </chartFormat>
    <chartFormat chart="18" format="12">
      <pivotArea type="data" outline="0" fieldPosition="0">
        <references count="2">
          <reference field="4294967294" count="1" selected="0">
            <x v="0"/>
          </reference>
          <reference field="6"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A0E465-67C3-483C-A97B-34CAB0A18DDA}" name="TablaDinámica2" cacheId="2" applyNumberFormats="0" applyBorderFormats="0" applyFontFormats="0" applyPatternFormats="0" applyAlignmentFormats="0" applyWidthHeightFormats="1" dataCaption="Valores" updatedVersion="6" minRefreshableVersion="3" useAutoFormatting="1" itemPrintTitles="1" createdVersion="6" indent="0" compact="0" compactData="0" gridDropZones="1" multipleFieldFilters="0" chartFormat="19" rowHeaderCaption="Proyectos">
  <location ref="I4:K27" firstHeaderRow="2" firstDataRow="2" firstDataCol="2"/>
  <pivotFields count="25">
    <pivotField compact="0" outline="0" showAll="0"/>
    <pivotField compact="0" outline="0" showAll="0"/>
    <pivotField dataField="1" compact="0" outline="0" showAll="0"/>
    <pivotField axis="axisRow" compact="0" outline="0" showAll="0" defaultSubtotal="0">
      <items count="12">
        <item x="0"/>
        <item x="3"/>
        <item x="2"/>
        <item x="1"/>
        <item h="1" x="8"/>
        <item m="1" x="11"/>
        <item m="1" x="10"/>
        <item m="1" x="9"/>
        <item x="4"/>
        <item x="7"/>
        <item x="5"/>
        <item x="6"/>
      </items>
    </pivotField>
    <pivotField compact="0" outline="0" showAll="0"/>
    <pivotField compact="0" outline="0" showAll="0"/>
    <pivotField axis="axisRow" compact="0" outline="0" showAll="0">
      <items count="15">
        <item x="2"/>
        <item x="1"/>
        <item x="0"/>
        <item x="12"/>
        <item x="3"/>
        <item m="1" x="1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6"/>
  </rowFields>
  <rowItems count="22">
    <i>
      <x/>
      <x v="2"/>
    </i>
    <i>
      <x v="1"/>
      <x/>
    </i>
    <i>
      <x v="2"/>
      <x/>
    </i>
    <i r="1">
      <x v="2"/>
    </i>
    <i r="1">
      <x v="4"/>
    </i>
    <i r="1">
      <x v="6"/>
    </i>
    <i r="1">
      <x v="7"/>
    </i>
    <i r="1">
      <x v="8"/>
    </i>
    <i r="1">
      <x v="9"/>
    </i>
    <i r="1">
      <x v="10"/>
    </i>
    <i r="1">
      <x v="11"/>
    </i>
    <i r="1">
      <x v="12"/>
    </i>
    <i r="1">
      <x v="13"/>
    </i>
    <i>
      <x v="3"/>
      <x/>
    </i>
    <i r="1">
      <x v="1"/>
    </i>
    <i r="1">
      <x v="4"/>
    </i>
    <i>
      <x v="8"/>
      <x v="1"/>
    </i>
    <i r="1">
      <x v="4"/>
    </i>
    <i>
      <x v="9"/>
      <x v="4"/>
    </i>
    <i>
      <x v="10"/>
      <x v="2"/>
    </i>
    <i>
      <x v="11"/>
      <x v="8"/>
    </i>
    <i t="grand">
      <x/>
    </i>
  </rowItems>
  <colItems count="1">
    <i/>
  </colItems>
  <dataFields count="1">
    <dataField name="SNC" fld="2" subtotal="count" baseField="0" baseItem="0"/>
  </dataFields>
  <formats count="3">
    <format dxfId="54">
      <pivotArea outline="0" collapsedLevelsAreSubtotals="1" fieldPosition="0"/>
    </format>
    <format dxfId="53">
      <pivotArea dataOnly="0" labelOnly="1" outline="0" axis="axisValues" fieldPosition="0"/>
    </format>
    <format dxfId="52">
      <pivotArea field="3" type="button" dataOnly="0" labelOnly="1" outline="0" axis="axisRow" fieldPosition="0"/>
    </format>
  </formats>
  <chartFormats count="2">
    <chartFormat chart="2" format="0" series="1">
      <pivotArea type="data" outline="0" fieldPosition="0">
        <references count="1">
          <reference field="4294967294" count="1" selected="0">
            <x v="0"/>
          </reference>
        </references>
      </pivotArea>
    </chartFormat>
    <chartFormat chart="2" format="1">
      <pivotArea type="data" outline="0" fieldPosition="0">
        <references count="3">
          <reference field="4294967294" count="1" selected="0">
            <x v="0"/>
          </reference>
          <reference field="3" count="1" selected="0">
            <x v="1"/>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6E4199-D719-4288-A421-988C8C4A54AB}" name="Tabla1" displayName="Tabla1" ref="A1:E18" totalsRowShown="0" headerRowDxfId="61" dataDxfId="60">
  <autoFilter ref="A1:E18" xr:uid="{5236C3E3-1CAD-4766-B464-459DB4A2B01F}"/>
  <tableColumns count="5">
    <tableColumn id="1" xr3:uid="{2A23FE75-043E-4ABC-857B-62A283204324}" name="Penalidades" dataDxfId="59"/>
    <tableColumn id="2" xr3:uid="{26314051-A6BF-4C5D-B65B-1B158B283D13}" name="Contratas" dataDxfId="58"/>
    <tableColumn id="3" xr3:uid="{41EEBDEC-BB9A-43AD-A82D-15524A16684E}" name="Proyectos" dataDxfId="57"/>
    <tableColumn id="4" xr3:uid="{B43B6FAA-95CA-482D-970B-C67A806DD69D}" name="Coordinador Entel" dataDxfId="56"/>
    <tableColumn id="5" xr3:uid="{B3F658A0-68F1-4CA1-AF9F-3E2A10BE5A8B}" name="Estatus" dataDxfId="55"/>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D89D4-97B7-484E-BC66-FEF17D2E9B18}">
  <dimension ref="B2:G84"/>
  <sheetViews>
    <sheetView workbookViewId="0">
      <selection activeCell="CX30" sqref="CX30"/>
    </sheetView>
  </sheetViews>
  <sheetFormatPr baseColWidth="10" defaultColWidth="11.42578125" defaultRowHeight="15" x14ac:dyDescent="0.25"/>
  <cols>
    <col min="1" max="1" width="1.85546875" customWidth="1"/>
    <col min="2" max="2" width="18.85546875" bestFit="1" customWidth="1"/>
    <col min="3" max="3" width="67.7109375" customWidth="1"/>
    <col min="4" max="4" width="19.28515625" bestFit="1" customWidth="1"/>
    <col min="5" max="5" width="29" bestFit="1" customWidth="1"/>
    <col min="6" max="6" width="31.7109375" customWidth="1"/>
    <col min="7" max="7" width="46.5703125" customWidth="1"/>
  </cols>
  <sheetData>
    <row r="2" spans="2:7" ht="25.5" x14ac:dyDescent="0.25">
      <c r="B2" s="48" t="s">
        <v>4</v>
      </c>
      <c r="C2" s="49" t="s">
        <v>5</v>
      </c>
      <c r="D2" s="49" t="s">
        <v>6</v>
      </c>
      <c r="E2" s="49" t="s">
        <v>7</v>
      </c>
      <c r="F2" s="49" t="s">
        <v>8</v>
      </c>
      <c r="G2" s="49" t="s">
        <v>9</v>
      </c>
    </row>
    <row r="3" spans="2:7" ht="38.25" x14ac:dyDescent="0.25">
      <c r="B3" s="30" t="s">
        <v>28</v>
      </c>
      <c r="C3" s="13" t="s">
        <v>29</v>
      </c>
      <c r="D3" s="30" t="s">
        <v>30</v>
      </c>
      <c r="E3" s="30" t="s">
        <v>31</v>
      </c>
      <c r="F3" s="30" t="s">
        <v>32</v>
      </c>
      <c r="G3" s="32" t="s">
        <v>33</v>
      </c>
    </row>
    <row r="4" spans="2:7" ht="25.5" x14ac:dyDescent="0.25">
      <c r="B4" s="30" t="s">
        <v>34</v>
      </c>
      <c r="C4" s="13" t="s">
        <v>35</v>
      </c>
      <c r="D4" s="30" t="s">
        <v>30</v>
      </c>
      <c r="E4" s="30" t="s">
        <v>31</v>
      </c>
      <c r="F4" s="30" t="s">
        <v>32</v>
      </c>
      <c r="G4" s="32" t="s">
        <v>36</v>
      </c>
    </row>
    <row r="5" spans="2:7" ht="51" x14ac:dyDescent="0.25">
      <c r="B5" s="30" t="s">
        <v>37</v>
      </c>
      <c r="C5" s="13" t="s">
        <v>38</v>
      </c>
      <c r="D5" s="30" t="s">
        <v>39</v>
      </c>
      <c r="E5" s="30" t="s">
        <v>31</v>
      </c>
      <c r="F5" s="30" t="s">
        <v>32</v>
      </c>
      <c r="G5" s="32" t="s">
        <v>40</v>
      </c>
    </row>
    <row r="6" spans="2:7" ht="63.75" x14ac:dyDescent="0.25">
      <c r="B6" s="30" t="s">
        <v>41</v>
      </c>
      <c r="C6" s="5" t="s">
        <v>42</v>
      </c>
      <c r="D6" s="6" t="s">
        <v>39</v>
      </c>
      <c r="E6" s="30" t="s">
        <v>31</v>
      </c>
      <c r="F6" s="30" t="s">
        <v>32</v>
      </c>
      <c r="G6" s="33" t="s">
        <v>43</v>
      </c>
    </row>
    <row r="7" spans="2:7" ht="127.5" x14ac:dyDescent="0.25">
      <c r="B7" s="30" t="s">
        <v>15</v>
      </c>
      <c r="C7" s="13" t="s">
        <v>44</v>
      </c>
      <c r="D7" s="6" t="s">
        <v>39</v>
      </c>
      <c r="E7" s="30" t="s">
        <v>31</v>
      </c>
      <c r="F7" s="30" t="s">
        <v>32</v>
      </c>
      <c r="G7" s="33" t="s">
        <v>45</v>
      </c>
    </row>
    <row r="8" spans="2:7" ht="76.5" x14ac:dyDescent="0.25">
      <c r="B8" s="30" t="s">
        <v>46</v>
      </c>
      <c r="C8" s="5" t="s">
        <v>47</v>
      </c>
      <c r="D8" s="6" t="s">
        <v>39</v>
      </c>
      <c r="E8" s="30" t="s">
        <v>31</v>
      </c>
      <c r="F8" s="30" t="s">
        <v>32</v>
      </c>
      <c r="G8" s="33" t="s">
        <v>48</v>
      </c>
    </row>
    <row r="9" spans="2:7" ht="89.25" x14ac:dyDescent="0.25">
      <c r="B9" s="30" t="s">
        <v>49</v>
      </c>
      <c r="C9" s="5" t="s">
        <v>50</v>
      </c>
      <c r="D9" s="6" t="s">
        <v>39</v>
      </c>
      <c r="E9" s="30" t="s">
        <v>31</v>
      </c>
      <c r="F9" s="30" t="s">
        <v>32</v>
      </c>
      <c r="G9" s="33" t="s">
        <v>51</v>
      </c>
    </row>
    <row r="10" spans="2:7" ht="102" x14ac:dyDescent="0.25">
      <c r="B10" s="30" t="s">
        <v>52</v>
      </c>
      <c r="C10" s="5" t="s">
        <v>53</v>
      </c>
      <c r="D10" s="6" t="s">
        <v>30</v>
      </c>
      <c r="E10" s="30" t="s">
        <v>31</v>
      </c>
      <c r="F10" s="30" t="s">
        <v>32</v>
      </c>
      <c r="G10" s="33" t="s">
        <v>54</v>
      </c>
    </row>
    <row r="11" spans="2:7" ht="63.75" x14ac:dyDescent="0.25">
      <c r="B11" s="30" t="s">
        <v>55</v>
      </c>
      <c r="C11" s="5" t="s">
        <v>56</v>
      </c>
      <c r="D11" s="6" t="s">
        <v>30</v>
      </c>
      <c r="E11" s="30" t="s">
        <v>31</v>
      </c>
      <c r="F11" s="30" t="s">
        <v>32</v>
      </c>
      <c r="G11" s="33" t="s">
        <v>57</v>
      </c>
    </row>
    <row r="12" spans="2:7" ht="63.75" x14ac:dyDescent="0.25">
      <c r="B12" s="30" t="s">
        <v>58</v>
      </c>
      <c r="C12" s="5" t="s">
        <v>59</v>
      </c>
      <c r="D12" s="6" t="s">
        <v>30</v>
      </c>
      <c r="E12" s="30" t="s">
        <v>31</v>
      </c>
      <c r="F12" s="30" t="s">
        <v>32</v>
      </c>
      <c r="G12" s="33" t="s">
        <v>57</v>
      </c>
    </row>
    <row r="13" spans="2:7" ht="63.75" x14ac:dyDescent="0.25">
      <c r="B13" s="30" t="s">
        <v>20</v>
      </c>
      <c r="C13" s="5" t="s">
        <v>60</v>
      </c>
      <c r="D13" s="6" t="s">
        <v>30</v>
      </c>
      <c r="E13" s="30" t="s">
        <v>31</v>
      </c>
      <c r="F13" s="30" t="s">
        <v>32</v>
      </c>
      <c r="G13" s="33" t="s">
        <v>57</v>
      </c>
    </row>
    <row r="14" spans="2:7" ht="63.75" x14ac:dyDescent="0.25">
      <c r="B14" s="30" t="s">
        <v>61</v>
      </c>
      <c r="C14" s="5" t="s">
        <v>62</v>
      </c>
      <c r="D14" s="6" t="s">
        <v>39</v>
      </c>
      <c r="E14" s="30" t="s">
        <v>31</v>
      </c>
      <c r="F14" s="30" t="s">
        <v>32</v>
      </c>
      <c r="G14" s="33" t="s">
        <v>43</v>
      </c>
    </row>
    <row r="15" spans="2:7" ht="38.25" x14ac:dyDescent="0.25">
      <c r="B15" s="30" t="s">
        <v>63</v>
      </c>
      <c r="C15" s="24" t="s">
        <v>29</v>
      </c>
      <c r="D15" s="25" t="s">
        <v>30</v>
      </c>
      <c r="E15" s="30" t="s">
        <v>31</v>
      </c>
      <c r="F15" s="30" t="s">
        <v>32</v>
      </c>
      <c r="G15" s="61" t="s">
        <v>64</v>
      </c>
    </row>
    <row r="16" spans="2:7" ht="38.25" x14ac:dyDescent="0.25">
      <c r="B16" s="30" t="s">
        <v>65</v>
      </c>
      <c r="C16" s="24" t="s">
        <v>35</v>
      </c>
      <c r="D16" s="25" t="s">
        <v>30</v>
      </c>
      <c r="E16" s="30" t="s">
        <v>31</v>
      </c>
      <c r="F16" s="30" t="s">
        <v>32</v>
      </c>
      <c r="G16" s="61" t="s">
        <v>66</v>
      </c>
    </row>
    <row r="17" spans="2:7" ht="63.75" x14ac:dyDescent="0.25">
      <c r="B17" s="30" t="s">
        <v>67</v>
      </c>
      <c r="C17" s="24" t="s">
        <v>68</v>
      </c>
      <c r="D17" s="25" t="s">
        <v>39</v>
      </c>
      <c r="E17" s="30" t="s">
        <v>31</v>
      </c>
      <c r="F17" s="30" t="s">
        <v>32</v>
      </c>
      <c r="G17" s="61" t="s">
        <v>69</v>
      </c>
    </row>
    <row r="18" spans="2:7" ht="25.5" x14ac:dyDescent="0.25">
      <c r="B18" s="30" t="s">
        <v>70</v>
      </c>
      <c r="C18" s="26" t="s">
        <v>42</v>
      </c>
      <c r="D18" s="6" t="s">
        <v>39</v>
      </c>
      <c r="E18" s="30" t="s">
        <v>31</v>
      </c>
      <c r="F18" s="30" t="s">
        <v>32</v>
      </c>
      <c r="G18" s="5" t="s">
        <v>71</v>
      </c>
    </row>
    <row r="19" spans="2:7" ht="76.5" x14ac:dyDescent="0.25">
      <c r="B19" s="30" t="s">
        <v>72</v>
      </c>
      <c r="C19" s="5" t="s">
        <v>73</v>
      </c>
      <c r="D19" s="6" t="s">
        <v>39</v>
      </c>
      <c r="E19" s="30" t="s">
        <v>31</v>
      </c>
      <c r="F19" s="30" t="s">
        <v>32</v>
      </c>
      <c r="G19" s="5" t="s">
        <v>74</v>
      </c>
    </row>
    <row r="20" spans="2:7" ht="51" x14ac:dyDescent="0.25">
      <c r="B20" s="30" t="s">
        <v>75</v>
      </c>
      <c r="C20" s="26" t="s">
        <v>76</v>
      </c>
      <c r="D20" s="6" t="s">
        <v>39</v>
      </c>
      <c r="E20" s="30" t="s">
        <v>31</v>
      </c>
      <c r="F20" s="30" t="s">
        <v>32</v>
      </c>
      <c r="G20" s="5" t="s">
        <v>77</v>
      </c>
    </row>
    <row r="21" spans="2:7" ht="102" x14ac:dyDescent="0.25">
      <c r="B21" s="30" t="s">
        <v>78</v>
      </c>
      <c r="C21" s="26" t="s">
        <v>79</v>
      </c>
      <c r="D21" s="6" t="s">
        <v>30</v>
      </c>
      <c r="E21" s="30" t="s">
        <v>31</v>
      </c>
      <c r="F21" s="30" t="s">
        <v>32</v>
      </c>
      <c r="G21" s="5" t="s">
        <v>80</v>
      </c>
    </row>
    <row r="22" spans="2:7" ht="63.75" x14ac:dyDescent="0.25">
      <c r="B22" s="30" t="s">
        <v>81</v>
      </c>
      <c r="C22" s="26" t="s">
        <v>56</v>
      </c>
      <c r="D22" s="6" t="s">
        <v>30</v>
      </c>
      <c r="E22" s="30" t="s">
        <v>31</v>
      </c>
      <c r="F22" s="30" t="s">
        <v>32</v>
      </c>
      <c r="G22" s="5" t="s">
        <v>82</v>
      </c>
    </row>
    <row r="23" spans="2:7" ht="51" x14ac:dyDescent="0.25">
      <c r="B23" s="30" t="s">
        <v>83</v>
      </c>
      <c r="C23" s="5" t="s">
        <v>84</v>
      </c>
      <c r="D23" s="6" t="s">
        <v>30</v>
      </c>
      <c r="E23" s="30" t="s">
        <v>31</v>
      </c>
      <c r="F23" s="30" t="s">
        <v>32</v>
      </c>
      <c r="G23" s="5" t="s">
        <v>85</v>
      </c>
    </row>
    <row r="24" spans="2:7" ht="38.25" x14ac:dyDescent="0.25">
      <c r="B24" s="30" t="s">
        <v>86</v>
      </c>
      <c r="C24" s="26" t="s">
        <v>87</v>
      </c>
      <c r="D24" s="6" t="s">
        <v>39</v>
      </c>
      <c r="E24" s="30" t="s">
        <v>31</v>
      </c>
      <c r="F24" s="30" t="s">
        <v>32</v>
      </c>
      <c r="G24" s="5" t="s">
        <v>88</v>
      </c>
    </row>
    <row r="25" spans="2:7" ht="25.5" x14ac:dyDescent="0.25">
      <c r="B25" s="30" t="s">
        <v>89</v>
      </c>
      <c r="C25" s="5" t="s">
        <v>90</v>
      </c>
      <c r="D25" s="6" t="s">
        <v>39</v>
      </c>
      <c r="E25" s="30" t="s">
        <v>31</v>
      </c>
      <c r="F25" s="30" t="s">
        <v>32</v>
      </c>
      <c r="G25" s="5" t="s">
        <v>91</v>
      </c>
    </row>
    <row r="26" spans="2:7" ht="25.5" x14ac:dyDescent="0.25">
      <c r="B26" s="30" t="s">
        <v>92</v>
      </c>
      <c r="C26" s="5" t="s">
        <v>93</v>
      </c>
      <c r="D26" s="6" t="s">
        <v>30</v>
      </c>
      <c r="E26" s="30" t="s">
        <v>31</v>
      </c>
      <c r="F26" s="30" t="s">
        <v>32</v>
      </c>
      <c r="G26" s="5" t="s">
        <v>94</v>
      </c>
    </row>
    <row r="27" spans="2:7" ht="25.5" x14ac:dyDescent="0.25">
      <c r="B27" s="30" t="s">
        <v>95</v>
      </c>
      <c r="C27" s="5" t="s">
        <v>96</v>
      </c>
      <c r="D27" s="6" t="s">
        <v>30</v>
      </c>
      <c r="E27" s="30" t="s">
        <v>31</v>
      </c>
      <c r="F27" s="30" t="s">
        <v>32</v>
      </c>
      <c r="G27" s="5" t="s">
        <v>97</v>
      </c>
    </row>
    <row r="28" spans="2:7" ht="38.25" x14ac:dyDescent="0.25">
      <c r="B28" s="30" t="s">
        <v>98</v>
      </c>
      <c r="C28" s="5" t="s">
        <v>99</v>
      </c>
      <c r="D28" s="6" t="s">
        <v>30</v>
      </c>
      <c r="E28" s="30" t="s">
        <v>31</v>
      </c>
      <c r="F28" s="30" t="s">
        <v>32</v>
      </c>
      <c r="G28" s="5" t="s">
        <v>100</v>
      </c>
    </row>
    <row r="29" spans="2:7" ht="51" x14ac:dyDescent="0.25">
      <c r="B29" s="30" t="s">
        <v>101</v>
      </c>
      <c r="C29" s="5" t="s">
        <v>102</v>
      </c>
      <c r="D29" s="6" t="s">
        <v>30</v>
      </c>
      <c r="E29" s="30" t="s">
        <v>31</v>
      </c>
      <c r="F29" s="30" t="s">
        <v>32</v>
      </c>
      <c r="G29" s="5" t="s">
        <v>66</v>
      </c>
    </row>
    <row r="30" spans="2:7" ht="85.5" x14ac:dyDescent="0.25">
      <c r="B30" s="41" t="s">
        <v>103</v>
      </c>
      <c r="C30" s="34" t="s">
        <v>104</v>
      </c>
      <c r="D30" s="35" t="s">
        <v>30</v>
      </c>
      <c r="E30" s="41" t="s">
        <v>31</v>
      </c>
      <c r="F30" s="41" t="s">
        <v>32</v>
      </c>
      <c r="G30" s="34" t="s">
        <v>105</v>
      </c>
    </row>
    <row r="31" spans="2:7" ht="28.5" x14ac:dyDescent="0.25">
      <c r="B31" s="41" t="s">
        <v>106</v>
      </c>
      <c r="C31" s="34" t="s">
        <v>107</v>
      </c>
      <c r="D31" s="35" t="s">
        <v>30</v>
      </c>
      <c r="E31" s="41" t="s">
        <v>31</v>
      </c>
      <c r="F31" s="41" t="s">
        <v>32</v>
      </c>
      <c r="G31" s="34" t="s">
        <v>108</v>
      </c>
    </row>
    <row r="32" spans="2:7" ht="57" x14ac:dyDescent="0.25">
      <c r="B32" s="41" t="s">
        <v>109</v>
      </c>
      <c r="C32" s="34" t="s">
        <v>38</v>
      </c>
      <c r="D32" s="35" t="s">
        <v>39</v>
      </c>
      <c r="E32" s="41" t="s">
        <v>31</v>
      </c>
      <c r="F32" s="41" t="s">
        <v>32</v>
      </c>
      <c r="G32" s="34" t="s">
        <v>110</v>
      </c>
    </row>
    <row r="33" spans="2:7" ht="85.5" x14ac:dyDescent="0.25">
      <c r="B33" s="41" t="s">
        <v>111</v>
      </c>
      <c r="C33" s="34" t="s">
        <v>42</v>
      </c>
      <c r="D33" s="35" t="s">
        <v>39</v>
      </c>
      <c r="E33" s="41" t="s">
        <v>31</v>
      </c>
      <c r="F33" s="41" t="s">
        <v>32</v>
      </c>
      <c r="G33" s="34" t="s">
        <v>112</v>
      </c>
    </row>
    <row r="34" spans="2:7" ht="142.5" x14ac:dyDescent="0.25">
      <c r="B34" s="41" t="s">
        <v>113</v>
      </c>
      <c r="C34" s="34" t="s">
        <v>114</v>
      </c>
      <c r="D34" s="35" t="s">
        <v>39</v>
      </c>
      <c r="E34" s="41" t="s">
        <v>31</v>
      </c>
      <c r="F34" s="41" t="s">
        <v>32</v>
      </c>
      <c r="G34" s="34" t="s">
        <v>115</v>
      </c>
    </row>
    <row r="35" spans="2:7" ht="28.5" x14ac:dyDescent="0.25">
      <c r="B35" s="41" t="s">
        <v>116</v>
      </c>
      <c r="C35" s="34" t="s">
        <v>117</v>
      </c>
      <c r="D35" s="35" t="s">
        <v>39</v>
      </c>
      <c r="E35" s="41" t="s">
        <v>31</v>
      </c>
      <c r="F35" s="41" t="s">
        <v>32</v>
      </c>
      <c r="G35" s="34" t="s">
        <v>108</v>
      </c>
    </row>
    <row r="36" spans="2:7" ht="99.75" x14ac:dyDescent="0.25">
      <c r="B36" s="41" t="s">
        <v>118</v>
      </c>
      <c r="C36" s="34" t="s">
        <v>47</v>
      </c>
      <c r="D36" s="35" t="s">
        <v>39</v>
      </c>
      <c r="E36" s="41" t="s">
        <v>31</v>
      </c>
      <c r="F36" s="41" t="s">
        <v>32</v>
      </c>
      <c r="G36" s="34" t="s">
        <v>119</v>
      </c>
    </row>
    <row r="37" spans="2:7" ht="99.75" x14ac:dyDescent="0.25">
      <c r="B37" s="41" t="s">
        <v>120</v>
      </c>
      <c r="C37" s="34" t="s">
        <v>121</v>
      </c>
      <c r="D37" s="35" t="s">
        <v>39</v>
      </c>
      <c r="E37" s="41" t="s">
        <v>31</v>
      </c>
      <c r="F37" s="41" t="s">
        <v>32</v>
      </c>
      <c r="G37" s="34" t="s">
        <v>122</v>
      </c>
    </row>
    <row r="38" spans="2:7" ht="128.25" x14ac:dyDescent="0.25">
      <c r="B38" s="41" t="s">
        <v>123</v>
      </c>
      <c r="C38" s="34" t="s">
        <v>53</v>
      </c>
      <c r="D38" s="35" t="s">
        <v>30</v>
      </c>
      <c r="E38" s="41" t="s">
        <v>31</v>
      </c>
      <c r="F38" s="41" t="s">
        <v>32</v>
      </c>
      <c r="G38" s="34" t="s">
        <v>54</v>
      </c>
    </row>
    <row r="39" spans="2:7" ht="85.5" x14ac:dyDescent="0.25">
      <c r="B39" s="41" t="s">
        <v>124</v>
      </c>
      <c r="C39" s="34" t="s">
        <v>56</v>
      </c>
      <c r="D39" s="35" t="s">
        <v>30</v>
      </c>
      <c r="E39" s="41" t="s">
        <v>31</v>
      </c>
      <c r="F39" s="41" t="s">
        <v>32</v>
      </c>
      <c r="G39" s="34" t="s">
        <v>125</v>
      </c>
    </row>
    <row r="40" spans="2:7" ht="85.5" x14ac:dyDescent="0.25">
      <c r="B40" s="41" t="s">
        <v>126</v>
      </c>
      <c r="C40" s="34" t="s">
        <v>59</v>
      </c>
      <c r="D40" s="35" t="s">
        <v>30</v>
      </c>
      <c r="E40" s="41" t="s">
        <v>31</v>
      </c>
      <c r="F40" s="41" t="s">
        <v>32</v>
      </c>
      <c r="G40" s="34" t="s">
        <v>127</v>
      </c>
    </row>
    <row r="41" spans="2:7" ht="85.5" x14ac:dyDescent="0.25">
      <c r="B41" s="41" t="s">
        <v>128</v>
      </c>
      <c r="C41" s="34" t="s">
        <v>60</v>
      </c>
      <c r="D41" s="35" t="s">
        <v>30</v>
      </c>
      <c r="E41" s="41" t="s">
        <v>31</v>
      </c>
      <c r="F41" s="41" t="s">
        <v>32</v>
      </c>
      <c r="G41" s="34" t="s">
        <v>125</v>
      </c>
    </row>
    <row r="42" spans="2:7" ht="85.5" x14ac:dyDescent="0.25">
      <c r="B42" s="50" t="s">
        <v>129</v>
      </c>
      <c r="C42" s="44" t="s">
        <v>130</v>
      </c>
      <c r="D42" s="45" t="s">
        <v>30</v>
      </c>
      <c r="E42" s="41" t="s">
        <v>31</v>
      </c>
      <c r="F42" s="45" t="s">
        <v>131</v>
      </c>
      <c r="G42" s="46" t="s">
        <v>132</v>
      </c>
    </row>
    <row r="43" spans="2:7" ht="85.5" x14ac:dyDescent="0.25">
      <c r="B43" s="41" t="s">
        <v>133</v>
      </c>
      <c r="C43" s="44" t="s">
        <v>134</v>
      </c>
      <c r="D43" s="45" t="s">
        <v>30</v>
      </c>
      <c r="E43" s="41" t="s">
        <v>31</v>
      </c>
      <c r="F43" s="45" t="s">
        <v>131</v>
      </c>
      <c r="G43" s="46" t="s">
        <v>135</v>
      </c>
    </row>
    <row r="44" spans="2:7" ht="28.5" x14ac:dyDescent="0.25">
      <c r="B44" s="41" t="s">
        <v>136</v>
      </c>
      <c r="C44" s="44" t="s">
        <v>42</v>
      </c>
      <c r="D44" s="45" t="s">
        <v>39</v>
      </c>
      <c r="E44" s="41" t="s">
        <v>31</v>
      </c>
      <c r="F44" s="45" t="s">
        <v>131</v>
      </c>
      <c r="G44" s="46" t="s">
        <v>137</v>
      </c>
    </row>
    <row r="45" spans="2:7" ht="128.25" x14ac:dyDescent="0.25">
      <c r="B45" s="41" t="s">
        <v>138</v>
      </c>
      <c r="C45" s="44" t="s">
        <v>79</v>
      </c>
      <c r="D45" s="45" t="s">
        <v>30</v>
      </c>
      <c r="E45" s="41" t="s">
        <v>31</v>
      </c>
      <c r="F45" s="45" t="s">
        <v>131</v>
      </c>
      <c r="G45" s="46" t="s">
        <v>139</v>
      </c>
    </row>
    <row r="46" spans="2:7" ht="85.5" x14ac:dyDescent="0.25">
      <c r="B46" s="41" t="s">
        <v>140</v>
      </c>
      <c r="C46" s="44" t="s">
        <v>141</v>
      </c>
      <c r="D46" s="45" t="s">
        <v>39</v>
      </c>
      <c r="E46" s="41" t="s">
        <v>31</v>
      </c>
      <c r="F46" s="45" t="s">
        <v>131</v>
      </c>
      <c r="G46" s="46" t="s">
        <v>142</v>
      </c>
    </row>
    <row r="47" spans="2:7" ht="28.5" x14ac:dyDescent="0.25">
      <c r="B47" s="41" t="s">
        <v>143</v>
      </c>
      <c r="C47" s="46" t="s">
        <v>144</v>
      </c>
      <c r="D47" s="45" t="s">
        <v>30</v>
      </c>
      <c r="E47" s="41" t="s">
        <v>31</v>
      </c>
      <c r="F47" s="45" t="s">
        <v>131</v>
      </c>
      <c r="G47" s="46" t="s">
        <v>145</v>
      </c>
    </row>
    <row r="48" spans="2:7" ht="38.25" x14ac:dyDescent="0.25">
      <c r="B48" s="30" t="s">
        <v>146</v>
      </c>
      <c r="C48" s="5" t="s">
        <v>147</v>
      </c>
      <c r="D48" s="6" t="s">
        <v>148</v>
      </c>
      <c r="E48" s="30" t="s">
        <v>31</v>
      </c>
      <c r="F48" s="54" t="s">
        <v>149</v>
      </c>
      <c r="G48" s="26" t="s">
        <v>150</v>
      </c>
    </row>
    <row r="49" spans="2:7" ht="38.25" x14ac:dyDescent="0.25">
      <c r="B49" s="30" t="s">
        <v>151</v>
      </c>
      <c r="C49" s="5" t="s">
        <v>152</v>
      </c>
      <c r="D49" s="6" t="s">
        <v>148</v>
      </c>
      <c r="E49" s="30" t="s">
        <v>31</v>
      </c>
      <c r="F49" s="54" t="s">
        <v>149</v>
      </c>
      <c r="G49" s="26" t="s">
        <v>150</v>
      </c>
    </row>
    <row r="50" spans="2:7" ht="38.25" x14ac:dyDescent="0.25">
      <c r="B50" s="30" t="s">
        <v>153</v>
      </c>
      <c r="C50" s="13" t="s">
        <v>154</v>
      </c>
      <c r="D50" s="6" t="s">
        <v>148</v>
      </c>
      <c r="E50" s="30" t="s">
        <v>31</v>
      </c>
      <c r="F50" s="54" t="s">
        <v>149</v>
      </c>
      <c r="G50" s="26" t="s">
        <v>150</v>
      </c>
    </row>
    <row r="51" spans="2:7" ht="38.25" x14ac:dyDescent="0.25">
      <c r="B51" s="30" t="s">
        <v>155</v>
      </c>
      <c r="C51" s="5" t="s">
        <v>156</v>
      </c>
      <c r="D51" s="6" t="s">
        <v>157</v>
      </c>
      <c r="E51" s="30" t="s">
        <v>31</v>
      </c>
      <c r="F51" s="54" t="s">
        <v>149</v>
      </c>
      <c r="G51" s="26" t="s">
        <v>158</v>
      </c>
    </row>
    <row r="52" spans="2:7" ht="38.25" x14ac:dyDescent="0.25">
      <c r="B52" s="30" t="s">
        <v>159</v>
      </c>
      <c r="C52" s="5" t="s">
        <v>160</v>
      </c>
      <c r="D52" s="6" t="s">
        <v>157</v>
      </c>
      <c r="E52" s="30" t="s">
        <v>31</v>
      </c>
      <c r="F52" s="54" t="s">
        <v>149</v>
      </c>
      <c r="G52" s="26" t="s">
        <v>158</v>
      </c>
    </row>
    <row r="53" spans="2:7" ht="63.75" x14ac:dyDescent="0.25">
      <c r="B53" s="30" t="s">
        <v>161</v>
      </c>
      <c r="C53" s="5" t="s">
        <v>162</v>
      </c>
      <c r="D53" s="6" t="s">
        <v>163</v>
      </c>
      <c r="E53" s="30" t="s">
        <v>31</v>
      </c>
      <c r="F53" s="54" t="s">
        <v>149</v>
      </c>
      <c r="G53" s="26" t="s">
        <v>164</v>
      </c>
    </row>
    <row r="54" spans="2:7" ht="63.75" x14ac:dyDescent="0.25">
      <c r="B54" s="30" t="s">
        <v>165</v>
      </c>
      <c r="C54" s="5" t="s">
        <v>166</v>
      </c>
      <c r="D54" s="6" t="s">
        <v>163</v>
      </c>
      <c r="E54" s="30" t="s">
        <v>31</v>
      </c>
      <c r="F54" s="54" t="s">
        <v>149</v>
      </c>
      <c r="G54" s="26" t="s">
        <v>164</v>
      </c>
    </row>
    <row r="55" spans="2:7" ht="63.75" x14ac:dyDescent="0.25">
      <c r="B55" s="30" t="s">
        <v>167</v>
      </c>
      <c r="C55" s="5" t="s">
        <v>168</v>
      </c>
      <c r="D55" s="6" t="s">
        <v>163</v>
      </c>
      <c r="E55" s="30" t="s">
        <v>31</v>
      </c>
      <c r="F55" s="54" t="s">
        <v>149</v>
      </c>
      <c r="G55" s="26" t="s">
        <v>164</v>
      </c>
    </row>
    <row r="56" spans="2:7" ht="89.25" x14ac:dyDescent="0.25">
      <c r="B56" s="30" t="s">
        <v>169</v>
      </c>
      <c r="C56" s="5" t="s">
        <v>170</v>
      </c>
      <c r="D56" s="6" t="s">
        <v>163</v>
      </c>
      <c r="E56" s="30" t="s">
        <v>31</v>
      </c>
      <c r="F56" s="54" t="s">
        <v>149</v>
      </c>
      <c r="G56" s="26" t="s">
        <v>171</v>
      </c>
    </row>
    <row r="57" spans="2:7" ht="25.5" x14ac:dyDescent="0.25">
      <c r="B57" s="26" t="s">
        <v>172</v>
      </c>
      <c r="C57" s="56" t="s">
        <v>173</v>
      </c>
      <c r="D57" s="20" t="s">
        <v>30</v>
      </c>
      <c r="E57" s="30" t="s">
        <v>31</v>
      </c>
      <c r="F57" s="6" t="s">
        <v>174</v>
      </c>
      <c r="G57" s="57">
        <v>0.15</v>
      </c>
    </row>
    <row r="58" spans="2:7" ht="51" x14ac:dyDescent="0.25">
      <c r="B58" s="26" t="s">
        <v>175</v>
      </c>
      <c r="C58" s="56" t="s">
        <v>176</v>
      </c>
      <c r="D58" s="20" t="s">
        <v>30</v>
      </c>
      <c r="E58" s="30" t="s">
        <v>31</v>
      </c>
      <c r="F58" s="6" t="s">
        <v>174</v>
      </c>
      <c r="G58" s="57">
        <v>0.15</v>
      </c>
    </row>
    <row r="59" spans="2:7" ht="38.25" x14ac:dyDescent="0.25">
      <c r="B59" s="26" t="s">
        <v>177</v>
      </c>
      <c r="C59" s="26" t="s">
        <v>178</v>
      </c>
      <c r="D59" s="20" t="s">
        <v>30</v>
      </c>
      <c r="E59" s="30" t="s">
        <v>31</v>
      </c>
      <c r="F59" s="6" t="s">
        <v>174</v>
      </c>
      <c r="G59" s="57">
        <v>0.15</v>
      </c>
    </row>
    <row r="60" spans="2:7" ht="38.25" x14ac:dyDescent="0.25">
      <c r="B60" s="26" t="s">
        <v>27</v>
      </c>
      <c r="C60" s="26" t="s">
        <v>179</v>
      </c>
      <c r="D60" s="20" t="s">
        <v>30</v>
      </c>
      <c r="E60" s="30" t="s">
        <v>31</v>
      </c>
      <c r="F60" s="6" t="s">
        <v>174</v>
      </c>
      <c r="G60" s="57">
        <v>0.15</v>
      </c>
    </row>
    <row r="61" spans="2:7" ht="51" x14ac:dyDescent="0.25">
      <c r="B61" s="26" t="s">
        <v>180</v>
      </c>
      <c r="C61" s="56" t="s">
        <v>181</v>
      </c>
      <c r="D61" s="20" t="s">
        <v>30</v>
      </c>
      <c r="E61" s="30" t="s">
        <v>31</v>
      </c>
      <c r="F61" s="6" t="s">
        <v>174</v>
      </c>
      <c r="G61" s="57">
        <v>0.15</v>
      </c>
    </row>
    <row r="62" spans="2:7" ht="25.5" x14ac:dyDescent="0.25">
      <c r="B62" s="26" t="s">
        <v>182</v>
      </c>
      <c r="C62" s="26" t="s">
        <v>183</v>
      </c>
      <c r="D62" s="20" t="s">
        <v>30</v>
      </c>
      <c r="E62" s="30" t="s">
        <v>31</v>
      </c>
      <c r="F62" s="6" t="s">
        <v>174</v>
      </c>
      <c r="G62" s="57">
        <v>0.15</v>
      </c>
    </row>
    <row r="63" spans="2:7" x14ac:dyDescent="0.25">
      <c r="B63" s="26" t="s">
        <v>184</v>
      </c>
      <c r="C63" s="26" t="s">
        <v>185</v>
      </c>
      <c r="D63" s="20" t="s">
        <v>30</v>
      </c>
      <c r="E63" s="30" t="s">
        <v>31</v>
      </c>
      <c r="F63" s="6" t="s">
        <v>174</v>
      </c>
      <c r="G63" s="57">
        <v>0.15</v>
      </c>
    </row>
    <row r="64" spans="2:7" ht="25.5" x14ac:dyDescent="0.25">
      <c r="B64" s="26" t="s">
        <v>186</v>
      </c>
      <c r="C64" s="26" t="s">
        <v>187</v>
      </c>
      <c r="D64" s="20" t="s">
        <v>30</v>
      </c>
      <c r="E64" s="30" t="s">
        <v>31</v>
      </c>
      <c r="F64" s="6" t="s">
        <v>174</v>
      </c>
      <c r="G64" s="57">
        <v>0.15</v>
      </c>
    </row>
    <row r="65" spans="2:7" ht="25.5" x14ac:dyDescent="0.25">
      <c r="B65" s="26" t="s">
        <v>188</v>
      </c>
      <c r="C65" s="26" t="s">
        <v>189</v>
      </c>
      <c r="D65" s="20" t="s">
        <v>30</v>
      </c>
      <c r="E65" s="30" t="s">
        <v>31</v>
      </c>
      <c r="F65" s="6" t="s">
        <v>174</v>
      </c>
      <c r="G65" s="57">
        <v>0.15</v>
      </c>
    </row>
    <row r="66" spans="2:7" x14ac:dyDescent="0.25">
      <c r="B66" s="26" t="s">
        <v>190</v>
      </c>
      <c r="C66" s="26" t="s">
        <v>191</v>
      </c>
      <c r="D66" s="20" t="s">
        <v>30</v>
      </c>
      <c r="E66" s="30" t="s">
        <v>31</v>
      </c>
      <c r="F66" s="6" t="s">
        <v>174</v>
      </c>
      <c r="G66" s="57">
        <v>0.15</v>
      </c>
    </row>
    <row r="67" spans="2:7" ht="25.5" x14ac:dyDescent="0.25">
      <c r="B67" s="26" t="s">
        <v>192</v>
      </c>
      <c r="C67" s="26" t="s">
        <v>193</v>
      </c>
      <c r="D67" s="20" t="s">
        <v>30</v>
      </c>
      <c r="E67" s="30" t="s">
        <v>31</v>
      </c>
      <c r="F67" s="6" t="s">
        <v>174</v>
      </c>
      <c r="G67" s="57">
        <v>0.15</v>
      </c>
    </row>
    <row r="68" spans="2:7" ht="25.5" x14ac:dyDescent="0.25">
      <c r="B68" s="26" t="s">
        <v>194</v>
      </c>
      <c r="C68" s="5" t="s">
        <v>195</v>
      </c>
      <c r="D68" s="20" t="s">
        <v>196</v>
      </c>
      <c r="E68" s="30" t="s">
        <v>31</v>
      </c>
      <c r="F68" s="6" t="s">
        <v>174</v>
      </c>
      <c r="G68" s="57">
        <v>0.1</v>
      </c>
    </row>
    <row r="69" spans="2:7" ht="51" x14ac:dyDescent="0.25">
      <c r="B69" s="26" t="s">
        <v>197</v>
      </c>
      <c r="C69" s="5" t="s">
        <v>198</v>
      </c>
      <c r="D69" s="20" t="s">
        <v>196</v>
      </c>
      <c r="E69" s="30" t="s">
        <v>31</v>
      </c>
      <c r="F69" s="6" t="s">
        <v>174</v>
      </c>
      <c r="G69" s="57">
        <v>0.1</v>
      </c>
    </row>
    <row r="70" spans="2:7" ht="51" x14ac:dyDescent="0.25">
      <c r="B70" s="26" t="s">
        <v>199</v>
      </c>
      <c r="C70" s="5" t="s">
        <v>200</v>
      </c>
      <c r="D70" s="20" t="s">
        <v>196</v>
      </c>
      <c r="E70" s="30" t="s">
        <v>31</v>
      </c>
      <c r="F70" s="6" t="s">
        <v>174</v>
      </c>
      <c r="G70" s="57">
        <v>0.1</v>
      </c>
    </row>
    <row r="71" spans="2:7" ht="25.5" x14ac:dyDescent="0.25">
      <c r="B71" s="26" t="s">
        <v>201</v>
      </c>
      <c r="C71" s="5" t="s">
        <v>202</v>
      </c>
      <c r="D71" s="20" t="s">
        <v>196</v>
      </c>
      <c r="E71" s="30" t="s">
        <v>31</v>
      </c>
      <c r="F71" s="6" t="s">
        <v>174</v>
      </c>
      <c r="G71" s="57">
        <v>0.1</v>
      </c>
    </row>
    <row r="72" spans="2:7" ht="51" x14ac:dyDescent="0.25">
      <c r="B72" s="26" t="s">
        <v>203</v>
      </c>
      <c r="C72" s="5" t="s">
        <v>204</v>
      </c>
      <c r="D72" s="20" t="s">
        <v>196</v>
      </c>
      <c r="E72" s="30" t="s">
        <v>31</v>
      </c>
      <c r="F72" s="6" t="s">
        <v>174</v>
      </c>
      <c r="G72" s="57">
        <v>0.1</v>
      </c>
    </row>
    <row r="73" spans="2:7" ht="38.25" x14ac:dyDescent="0.25">
      <c r="B73" s="26" t="s">
        <v>205</v>
      </c>
      <c r="C73" s="5" t="s">
        <v>206</v>
      </c>
      <c r="D73" s="20" t="s">
        <v>196</v>
      </c>
      <c r="E73" s="30" t="s">
        <v>31</v>
      </c>
      <c r="F73" s="6" t="s">
        <v>174</v>
      </c>
      <c r="G73" s="57">
        <v>0.1</v>
      </c>
    </row>
    <row r="74" spans="2:7" ht="38.25" x14ac:dyDescent="0.25">
      <c r="B74" s="26" t="s">
        <v>207</v>
      </c>
      <c r="C74" s="5" t="s">
        <v>208</v>
      </c>
      <c r="D74" s="20" t="s">
        <v>196</v>
      </c>
      <c r="E74" s="30" t="s">
        <v>31</v>
      </c>
      <c r="F74" s="6" t="s">
        <v>174</v>
      </c>
      <c r="G74" s="57">
        <v>0.1</v>
      </c>
    </row>
    <row r="75" spans="2:7" ht="89.25" x14ac:dyDescent="0.25">
      <c r="B75" s="26" t="s">
        <v>209</v>
      </c>
      <c r="C75" s="5" t="s">
        <v>210</v>
      </c>
      <c r="D75" s="20" t="s">
        <v>196</v>
      </c>
      <c r="E75" s="30" t="s">
        <v>31</v>
      </c>
      <c r="F75" s="6" t="s">
        <v>174</v>
      </c>
      <c r="G75" s="57">
        <v>0.1</v>
      </c>
    </row>
    <row r="76" spans="2:7" ht="25.5" x14ac:dyDescent="0.25">
      <c r="B76" s="26" t="s">
        <v>211</v>
      </c>
      <c r="C76" s="5" t="s">
        <v>212</v>
      </c>
      <c r="D76" s="20" t="s">
        <v>196</v>
      </c>
      <c r="E76" s="30" t="s">
        <v>31</v>
      </c>
      <c r="F76" s="6" t="s">
        <v>174</v>
      </c>
      <c r="G76" s="57">
        <v>0.1</v>
      </c>
    </row>
    <row r="77" spans="2:7" ht="38.25" x14ac:dyDescent="0.25">
      <c r="B77" s="26" t="s">
        <v>213</v>
      </c>
      <c r="C77" s="5" t="s">
        <v>214</v>
      </c>
      <c r="D77" s="20" t="s">
        <v>196</v>
      </c>
      <c r="E77" s="30" t="s">
        <v>31</v>
      </c>
      <c r="F77" s="6" t="s">
        <v>174</v>
      </c>
      <c r="G77" s="57">
        <v>0.1</v>
      </c>
    </row>
    <row r="78" spans="2:7" ht="38.25" x14ac:dyDescent="0.25">
      <c r="B78" s="26" t="s">
        <v>215</v>
      </c>
      <c r="C78" s="5" t="s">
        <v>216</v>
      </c>
      <c r="D78" s="20" t="s">
        <v>196</v>
      </c>
      <c r="E78" s="30" t="s">
        <v>31</v>
      </c>
      <c r="F78" s="6" t="s">
        <v>174</v>
      </c>
      <c r="G78" s="57">
        <v>0.1</v>
      </c>
    </row>
    <row r="79" spans="2:7" ht="25.5" x14ac:dyDescent="0.25">
      <c r="B79" s="26" t="s">
        <v>217</v>
      </c>
      <c r="C79" s="5" t="s">
        <v>218</v>
      </c>
      <c r="D79" s="20" t="s">
        <v>196</v>
      </c>
      <c r="E79" s="30" t="s">
        <v>31</v>
      </c>
      <c r="F79" s="6" t="s">
        <v>174</v>
      </c>
      <c r="G79" s="57">
        <v>0.1</v>
      </c>
    </row>
    <row r="80" spans="2:7" ht="25.5" x14ac:dyDescent="0.25">
      <c r="B80" s="26" t="s">
        <v>219</v>
      </c>
      <c r="C80" s="5" t="s">
        <v>220</v>
      </c>
      <c r="D80" s="20" t="s">
        <v>196</v>
      </c>
      <c r="E80" s="30" t="s">
        <v>31</v>
      </c>
      <c r="F80" s="6" t="s">
        <v>174</v>
      </c>
      <c r="G80" s="57">
        <v>0.1</v>
      </c>
    </row>
    <row r="81" spans="2:7" x14ac:dyDescent="0.25">
      <c r="B81" s="26" t="s">
        <v>221</v>
      </c>
      <c r="C81" s="58" t="s">
        <v>222</v>
      </c>
      <c r="D81" s="20" t="s">
        <v>196</v>
      </c>
      <c r="E81" s="30" t="s">
        <v>31</v>
      </c>
      <c r="F81" s="6" t="s">
        <v>174</v>
      </c>
      <c r="G81" s="57">
        <v>0.1</v>
      </c>
    </row>
    <row r="82" spans="2:7" ht="25.5" x14ac:dyDescent="0.25">
      <c r="B82" s="26" t="s">
        <v>223</v>
      </c>
      <c r="C82" s="13" t="s">
        <v>224</v>
      </c>
      <c r="D82" s="60" t="s">
        <v>225</v>
      </c>
      <c r="E82" s="30" t="s">
        <v>31</v>
      </c>
      <c r="F82" s="6" t="s">
        <v>174</v>
      </c>
      <c r="G82" s="59">
        <v>0.05</v>
      </c>
    </row>
    <row r="83" spans="2:7" ht="38.25" x14ac:dyDescent="0.25">
      <c r="B83" s="26" t="s">
        <v>226</v>
      </c>
      <c r="C83" s="5" t="s">
        <v>227</v>
      </c>
      <c r="D83" s="20" t="s">
        <v>225</v>
      </c>
      <c r="E83" s="30" t="s">
        <v>31</v>
      </c>
      <c r="F83" s="6" t="s">
        <v>174</v>
      </c>
      <c r="G83" s="59">
        <v>0.05</v>
      </c>
    </row>
    <row r="84" spans="2:7" ht="38.25" x14ac:dyDescent="0.25">
      <c r="B84" s="26" t="s">
        <v>228</v>
      </c>
      <c r="C84" s="5" t="s">
        <v>229</v>
      </c>
      <c r="D84" s="20" t="s">
        <v>225</v>
      </c>
      <c r="E84" s="30" t="s">
        <v>31</v>
      </c>
      <c r="F84" s="6" t="s">
        <v>174</v>
      </c>
      <c r="G84" s="59">
        <v>0.05</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688D-B098-4CE6-87B2-D0FEB0617857}">
  <dimension ref="A1:E18"/>
  <sheetViews>
    <sheetView workbookViewId="0">
      <selection activeCell="CX30" sqref="CX30"/>
    </sheetView>
  </sheetViews>
  <sheetFormatPr baseColWidth="10" defaultColWidth="11.42578125" defaultRowHeight="15" x14ac:dyDescent="0.25"/>
  <cols>
    <col min="1" max="1" width="23.85546875" customWidth="1"/>
    <col min="2" max="2" width="18.85546875" customWidth="1"/>
    <col min="3" max="3" width="18.42578125" customWidth="1"/>
    <col min="4" max="4" width="26.140625" customWidth="1"/>
  </cols>
  <sheetData>
    <row r="1" spans="1:5" x14ac:dyDescent="0.25">
      <c r="A1" s="74" t="s">
        <v>230</v>
      </c>
      <c r="B1" s="74" t="s">
        <v>231</v>
      </c>
      <c r="C1" s="74" t="s">
        <v>232</v>
      </c>
      <c r="D1" s="74" t="s">
        <v>1</v>
      </c>
      <c r="E1" s="74" t="s">
        <v>10</v>
      </c>
    </row>
    <row r="2" spans="1:5" x14ac:dyDescent="0.25">
      <c r="A2" s="74"/>
      <c r="B2" s="63"/>
      <c r="C2" s="74"/>
      <c r="D2" s="74"/>
      <c r="E2" s="74"/>
    </row>
    <row r="3" spans="1:5" x14ac:dyDescent="0.25">
      <c r="A3" s="74" t="s">
        <v>14</v>
      </c>
      <c r="B3" s="63" t="s">
        <v>22</v>
      </c>
      <c r="C3" s="74" t="s">
        <v>233</v>
      </c>
      <c r="D3" s="74" t="s">
        <v>234</v>
      </c>
      <c r="E3" s="74" t="s">
        <v>235</v>
      </c>
    </row>
    <row r="4" spans="1:5" x14ac:dyDescent="0.25">
      <c r="A4" s="74" t="s">
        <v>236</v>
      </c>
      <c r="B4" s="63" t="s">
        <v>25</v>
      </c>
      <c r="C4" s="74" t="s">
        <v>237</v>
      </c>
      <c r="D4" s="74" t="s">
        <v>238</v>
      </c>
      <c r="E4" s="74" t="s">
        <v>239</v>
      </c>
    </row>
    <row r="5" spans="1:5" x14ac:dyDescent="0.25">
      <c r="A5" s="74" t="s">
        <v>240</v>
      </c>
      <c r="B5" s="63" t="s">
        <v>241</v>
      </c>
      <c r="C5" s="74" t="s">
        <v>18</v>
      </c>
      <c r="D5" s="74" t="s">
        <v>242</v>
      </c>
      <c r="E5" s="74"/>
    </row>
    <row r="6" spans="1:5" x14ac:dyDescent="0.25">
      <c r="A6" s="74" t="s">
        <v>243</v>
      </c>
      <c r="B6" s="63" t="s">
        <v>13</v>
      </c>
      <c r="C6" s="74" t="s">
        <v>24</v>
      </c>
      <c r="D6" s="74" t="s">
        <v>12</v>
      </c>
      <c r="E6" s="74"/>
    </row>
    <row r="7" spans="1:5" x14ac:dyDescent="0.25">
      <c r="A7" s="74" t="s">
        <v>244</v>
      </c>
      <c r="B7" s="63" t="s">
        <v>23</v>
      </c>
      <c r="C7" s="74" t="s">
        <v>245</v>
      </c>
      <c r="D7" s="74" t="s">
        <v>246</v>
      </c>
      <c r="E7" s="74"/>
    </row>
    <row r="8" spans="1:5" x14ac:dyDescent="0.25">
      <c r="A8" s="74" t="s">
        <v>247</v>
      </c>
      <c r="B8" s="63" t="s">
        <v>248</v>
      </c>
      <c r="C8" s="74" t="s">
        <v>243</v>
      </c>
      <c r="D8" s="74" t="s">
        <v>249</v>
      </c>
      <c r="E8" s="74"/>
    </row>
    <row r="9" spans="1:5" x14ac:dyDescent="0.25">
      <c r="A9" s="74"/>
      <c r="B9" s="63" t="s">
        <v>250</v>
      </c>
      <c r="C9" s="74" t="s">
        <v>251</v>
      </c>
      <c r="D9" s="74" t="s">
        <v>21</v>
      </c>
      <c r="E9" s="74"/>
    </row>
    <row r="10" spans="1:5" x14ac:dyDescent="0.25">
      <c r="A10" s="74"/>
      <c r="B10" s="63" t="s">
        <v>252</v>
      </c>
      <c r="C10" s="74" t="s">
        <v>253</v>
      </c>
      <c r="D10" s="74"/>
      <c r="E10" s="74"/>
    </row>
    <row r="11" spans="1:5" x14ac:dyDescent="0.25">
      <c r="A11" s="74"/>
      <c r="B11" s="63" t="s">
        <v>254</v>
      </c>
      <c r="C11" s="74" t="s">
        <v>240</v>
      </c>
      <c r="D11" s="74"/>
      <c r="E11" s="74"/>
    </row>
    <row r="12" spans="1:5" x14ac:dyDescent="0.25">
      <c r="A12" s="74"/>
      <c r="B12" s="63" t="s">
        <v>255</v>
      </c>
      <c r="C12" s="74" t="s">
        <v>236</v>
      </c>
      <c r="D12" s="74"/>
      <c r="E12" s="74"/>
    </row>
    <row r="13" spans="1:5" x14ac:dyDescent="0.25">
      <c r="A13" s="74"/>
      <c r="B13" s="63" t="s">
        <v>19</v>
      </c>
      <c r="C13" s="74" t="s">
        <v>256</v>
      </c>
      <c r="D13" s="74"/>
      <c r="E13" s="74"/>
    </row>
    <row r="14" spans="1:5" x14ac:dyDescent="0.25">
      <c r="A14" s="74"/>
      <c r="B14" s="63" t="s">
        <v>26</v>
      </c>
      <c r="C14" s="74" t="s">
        <v>257</v>
      </c>
      <c r="D14" s="74"/>
      <c r="E14" s="74"/>
    </row>
    <row r="15" spans="1:5" x14ac:dyDescent="0.25">
      <c r="A15" s="74"/>
      <c r="B15" s="63" t="s">
        <v>258</v>
      </c>
      <c r="C15" s="74" t="s">
        <v>259</v>
      </c>
      <c r="D15" s="74"/>
      <c r="E15" s="74"/>
    </row>
    <row r="16" spans="1:5" x14ac:dyDescent="0.25">
      <c r="A16" s="74"/>
      <c r="B16" s="63" t="s">
        <v>260</v>
      </c>
      <c r="C16" s="74" t="s">
        <v>261</v>
      </c>
      <c r="D16" s="74"/>
      <c r="E16" s="74"/>
    </row>
    <row r="17" spans="1:5" x14ac:dyDescent="0.25">
      <c r="A17" s="74"/>
      <c r="B17" s="65" t="s">
        <v>262</v>
      </c>
      <c r="C17" s="64" t="s">
        <v>11</v>
      </c>
      <c r="D17" s="74"/>
      <c r="E17" s="74"/>
    </row>
    <row r="18" spans="1:5" x14ac:dyDescent="0.25">
      <c r="A18" s="74"/>
      <c r="B18" s="18" t="s">
        <v>17</v>
      </c>
      <c r="C18" s="66" t="s">
        <v>16</v>
      </c>
      <c r="D18" s="74"/>
      <c r="E18" s="7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38151-EA2E-481B-AD2F-8FAFA605756B}">
  <dimension ref="B2:DB606"/>
  <sheetViews>
    <sheetView showGridLines="0" topLeftCell="A10" zoomScale="90" zoomScaleNormal="90" workbookViewId="0">
      <selection activeCell="CX30" sqref="CX30"/>
    </sheetView>
  </sheetViews>
  <sheetFormatPr baseColWidth="10" defaultColWidth="11.42578125" defaultRowHeight="15" x14ac:dyDescent="0.25"/>
  <cols>
    <col min="1" max="1" width="5.5703125" style="62" customWidth="1"/>
    <col min="2" max="2" width="15.140625" style="62" bestFit="1" customWidth="1"/>
    <col min="3" max="3" width="4.5703125" style="62" bestFit="1" customWidth="1"/>
    <col min="4" max="6" width="11.42578125" style="62"/>
    <col min="7" max="7" width="0.42578125" style="67" customWidth="1"/>
    <col min="8" max="8" width="11.42578125" style="62"/>
    <col min="9" max="9" width="15.28515625" style="62" bestFit="1" customWidth="1"/>
    <col min="10" max="10" width="13.28515625" style="62" bestFit="1" customWidth="1"/>
    <col min="11" max="11" width="5.42578125" style="62" bestFit="1" customWidth="1"/>
    <col min="12" max="16" width="11.42578125" style="62"/>
    <col min="17" max="17" width="0.42578125" style="67" customWidth="1"/>
    <col min="18" max="18" width="11.42578125" style="62"/>
    <col min="19" max="19" width="14.7109375" style="62" customWidth="1"/>
    <col min="20" max="20" width="13.28515625" style="62" bestFit="1" customWidth="1"/>
    <col min="21" max="21" width="36.140625" style="62" bestFit="1" customWidth="1"/>
    <col min="22" max="22" width="4.5703125" style="62" bestFit="1" customWidth="1"/>
    <col min="23" max="23" width="11.42578125" style="62"/>
    <col min="24" max="24" width="36.140625" style="62" bestFit="1" customWidth="1"/>
    <col min="25" max="25" width="11.140625" style="62" bestFit="1" customWidth="1"/>
    <col min="26" max="26" width="4.5703125" style="62" bestFit="1" customWidth="1"/>
    <col min="27" max="27" width="0.42578125" style="67" customWidth="1"/>
    <col min="28" max="28" width="11.42578125" style="62"/>
    <col min="29" max="29" width="17" style="62" bestFit="1" customWidth="1"/>
    <col min="30" max="30" width="5.42578125" style="62" bestFit="1" customWidth="1"/>
    <col min="31" max="31" width="4.5703125" style="62" bestFit="1" customWidth="1"/>
    <col min="32" max="34" width="11.42578125" style="62"/>
    <col min="35" max="35" width="0.42578125" style="67" customWidth="1"/>
    <col min="36" max="36" width="11.42578125" style="62"/>
    <col min="37" max="37" width="11.85546875" style="62" customWidth="1"/>
    <col min="38" max="41" width="9.140625" style="62" bestFit="1" customWidth="1"/>
    <col min="42" max="42" width="12.5703125" style="62" bestFit="1" customWidth="1"/>
    <col min="43" max="43" width="4" style="62" bestFit="1" customWidth="1"/>
    <col min="44" max="44" width="3.42578125" style="62" bestFit="1" customWidth="1"/>
    <col min="45" max="45" width="4.42578125" style="62" bestFit="1" customWidth="1"/>
    <col min="46" max="46" width="3.85546875" style="62" bestFit="1" customWidth="1"/>
    <col min="47" max="47" width="4.140625" style="62" bestFit="1" customWidth="1"/>
    <col min="48" max="48" width="4.5703125" style="62" bestFit="1" customWidth="1"/>
    <col min="49" max="49" width="4" style="62" bestFit="1" customWidth="1"/>
    <col min="50" max="50" width="11.42578125" style="62"/>
    <col min="51" max="51" width="0.42578125" style="67" customWidth="1"/>
    <col min="52" max="52" width="11.42578125" style="62"/>
    <col min="53" max="53" width="15.140625" style="62" bestFit="1" customWidth="1"/>
    <col min="54" max="54" width="4.5703125" style="62" bestFit="1" customWidth="1"/>
    <col min="55" max="55" width="11.42578125" style="62"/>
    <col min="56" max="56" width="21.42578125" style="62" bestFit="1" customWidth="1"/>
    <col min="57" max="57" width="20.42578125" style="62" bestFit="1" customWidth="1"/>
    <col min="58" max="58" width="5.28515625" style="62" bestFit="1" customWidth="1"/>
    <col min="59" max="60" width="11.42578125" style="62"/>
    <col min="61" max="61" width="0.42578125" style="67" customWidth="1"/>
    <col min="62" max="62" width="11.42578125" style="62"/>
    <col min="63" max="63" width="13.85546875" style="62" bestFit="1" customWidth="1"/>
    <col min="64" max="64" width="22.42578125" style="62" bestFit="1" customWidth="1"/>
    <col min="65" max="65" width="6.28515625" style="62" bestFit="1" customWidth="1"/>
    <col min="66" max="66" width="21.5703125" style="62" bestFit="1" customWidth="1"/>
    <col min="67" max="67" width="10.140625" style="62" bestFit="1" customWidth="1"/>
    <col min="68" max="68" width="12.5703125" style="62" bestFit="1" customWidth="1"/>
    <col min="69" max="70" width="11.42578125" style="62"/>
    <col min="71" max="71" width="0.42578125" style="67" customWidth="1"/>
    <col min="72" max="72" width="11.42578125" style="62"/>
    <col min="73" max="73" width="13.85546875" style="62" bestFit="1" customWidth="1"/>
    <col min="74" max="74" width="22.42578125" style="62" bestFit="1" customWidth="1"/>
    <col min="75" max="75" width="11.5703125" style="62" bestFit="1" customWidth="1"/>
    <col min="76" max="76" width="8.5703125" style="62" bestFit="1" customWidth="1"/>
    <col min="77" max="77" width="5.42578125" style="62" bestFit="1" customWidth="1"/>
    <col min="78" max="78" width="11.5703125" style="62" bestFit="1" customWidth="1"/>
    <col min="79" max="79" width="6.5703125" style="62" bestFit="1" customWidth="1"/>
    <col min="80" max="80" width="10.140625" style="62" bestFit="1" customWidth="1"/>
    <col min="81" max="81" width="3" style="62" bestFit="1" customWidth="1"/>
    <col min="82" max="82" width="6.5703125" style="62" bestFit="1" customWidth="1"/>
    <col min="83" max="83" width="4.140625" style="62" bestFit="1" customWidth="1"/>
    <col min="84" max="84" width="7.5703125" style="62" bestFit="1" customWidth="1"/>
    <col min="85" max="85" width="12.140625" style="62" bestFit="1" customWidth="1"/>
    <col min="86" max="86" width="12.5703125" style="62" bestFit="1" customWidth="1"/>
    <col min="87" max="87" width="6.5703125" style="62" customWidth="1"/>
    <col min="88" max="88" width="10.140625" style="62" bestFit="1" customWidth="1"/>
    <col min="89" max="89" width="0.42578125" style="67" customWidth="1"/>
    <col min="90" max="90" width="6.5703125" style="62" bestFit="1" customWidth="1"/>
    <col min="91" max="91" width="40" style="62" bestFit="1" customWidth="1"/>
    <col min="92" max="92" width="7.5703125" style="62" bestFit="1" customWidth="1"/>
    <col min="93" max="93" width="11.5703125" style="62" bestFit="1" customWidth="1"/>
    <col min="94" max="94" width="8.5703125" style="62" bestFit="1" customWidth="1"/>
    <col min="95" max="95" width="5.42578125" style="62" bestFit="1" customWidth="1"/>
    <col min="96" max="96" width="11.5703125" style="62" bestFit="1" customWidth="1"/>
    <col min="97" max="97" width="6.5703125" style="62" bestFit="1" customWidth="1"/>
    <col min="98" max="98" width="10.140625" style="62" bestFit="1" customWidth="1"/>
    <col min="99" max="99" width="3" style="62" bestFit="1" customWidth="1"/>
    <col min="100" max="100" width="6.5703125" style="62" bestFit="1" customWidth="1"/>
    <col min="101" max="101" width="4.140625" style="62" bestFit="1" customWidth="1"/>
    <col min="102" max="102" width="7.5703125" style="62" bestFit="1" customWidth="1"/>
    <col min="103" max="103" width="12.140625" style="62" bestFit="1" customWidth="1"/>
    <col min="104" max="104" width="12.5703125" style="85" bestFit="1" customWidth="1"/>
    <col min="105" max="105" width="11.42578125" style="62" customWidth="1"/>
    <col min="106" max="106" width="0.5703125" style="67" customWidth="1"/>
    <col min="107" max="16384" width="11.42578125" style="62"/>
  </cols>
  <sheetData>
    <row r="2" spans="2:106" ht="18.75" x14ac:dyDescent="0.3">
      <c r="B2" s="69" t="s">
        <v>263</v>
      </c>
      <c r="I2" s="69" t="s">
        <v>264</v>
      </c>
      <c r="S2" s="69" t="s">
        <v>265</v>
      </c>
      <c r="AC2" s="69" t="s">
        <v>266</v>
      </c>
      <c r="AK2" s="69" t="s">
        <v>267</v>
      </c>
      <c r="BA2" s="69" t="s">
        <v>268</v>
      </c>
      <c r="BD2" s="78" t="s">
        <v>0</v>
      </c>
      <c r="BE2" s="73" t="s">
        <v>269</v>
      </c>
      <c r="BK2" s="69" t="s">
        <v>270</v>
      </c>
      <c r="BU2" s="69" t="s">
        <v>271</v>
      </c>
      <c r="CM2" s="69" t="s">
        <v>272</v>
      </c>
    </row>
    <row r="3" spans="2:106" ht="23.25" x14ac:dyDescent="0.35">
      <c r="X3" s="72" t="s">
        <v>273</v>
      </c>
      <c r="AK3" s="73"/>
      <c r="BD3" s="72" t="s">
        <v>273</v>
      </c>
    </row>
    <row r="4" spans="2:106" x14ac:dyDescent="0.25">
      <c r="B4" s="78" t="s">
        <v>232</v>
      </c>
      <c r="C4" s="74" t="s">
        <v>274</v>
      </c>
      <c r="I4" s="75" t="s">
        <v>274</v>
      </c>
      <c r="J4" s="73"/>
      <c r="K4" s="73"/>
      <c r="S4" s="73"/>
      <c r="T4" s="73"/>
      <c r="U4" s="75" t="s">
        <v>275</v>
      </c>
      <c r="V4" s="73"/>
      <c r="X4" s="75" t="s">
        <v>276</v>
      </c>
      <c r="Y4" s="73"/>
      <c r="Z4" s="73"/>
      <c r="AA4" s="68"/>
      <c r="AC4" s="75" t="s">
        <v>277</v>
      </c>
      <c r="AD4" s="73"/>
      <c r="AE4" s="73"/>
      <c r="AF4" s="73"/>
      <c r="AG4" s="73"/>
      <c r="AH4" s="73"/>
      <c r="AI4" s="68"/>
      <c r="AJ4" s="73"/>
      <c r="AK4" s="70"/>
      <c r="AL4" s="71" t="s">
        <v>278</v>
      </c>
      <c r="AM4" s="71" t="s">
        <v>279</v>
      </c>
      <c r="AN4" s="71" t="s">
        <v>280</v>
      </c>
      <c r="AO4" s="71" t="s">
        <v>281</v>
      </c>
      <c r="AP4" s="71" t="s">
        <v>282</v>
      </c>
      <c r="AQ4" s="71" t="s">
        <v>283</v>
      </c>
      <c r="AR4" s="71" t="s">
        <v>284</v>
      </c>
      <c r="AS4" s="71" t="s">
        <v>285</v>
      </c>
      <c r="AT4" s="71" t="s">
        <v>286</v>
      </c>
      <c r="AU4" s="71" t="s">
        <v>287</v>
      </c>
      <c r="AV4" s="71" t="s">
        <v>288</v>
      </c>
      <c r="AW4" s="71" t="s">
        <v>289</v>
      </c>
      <c r="BA4" s="78" t="s">
        <v>232</v>
      </c>
      <c r="BB4" s="74" t="s">
        <v>274</v>
      </c>
      <c r="BD4" s="75" t="s">
        <v>232</v>
      </c>
      <c r="BE4" s="74" t="s">
        <v>274</v>
      </c>
      <c r="BF4" s="74" t="s">
        <v>290</v>
      </c>
      <c r="BK4" s="75" t="s">
        <v>291</v>
      </c>
      <c r="BL4" s="75" t="s">
        <v>292</v>
      </c>
      <c r="BM4" s="73"/>
      <c r="BN4" s="73"/>
      <c r="BO4" s="73"/>
      <c r="BP4" s="73"/>
      <c r="BU4" s="75" t="s">
        <v>291</v>
      </c>
      <c r="BV4" s="75" t="s">
        <v>292</v>
      </c>
      <c r="BW4" s="73"/>
      <c r="BX4" s="73"/>
      <c r="BY4" s="73"/>
      <c r="BZ4" s="73"/>
      <c r="CA4" s="73"/>
      <c r="CB4" s="73"/>
      <c r="CC4" s="73"/>
      <c r="CD4" s="73"/>
      <c r="CE4" s="73"/>
      <c r="CF4" s="73"/>
      <c r="CG4" s="73"/>
      <c r="CH4" s="73"/>
      <c r="CI4" s="73"/>
      <c r="CJ4" s="73"/>
      <c r="CL4" s="73"/>
      <c r="CM4" s="75" t="s">
        <v>291</v>
      </c>
      <c r="CN4" s="75" t="s">
        <v>3</v>
      </c>
      <c r="CO4" s="73"/>
      <c r="CP4" s="73"/>
      <c r="CQ4" s="73"/>
      <c r="CR4" s="73"/>
      <c r="CS4" s="73"/>
      <c r="CT4" s="73"/>
      <c r="CU4" s="73"/>
      <c r="CV4" s="73"/>
      <c r="CW4" s="73"/>
      <c r="CX4" s="73"/>
      <c r="CY4" s="73"/>
      <c r="CZ4" s="73"/>
      <c r="DB4" s="68"/>
    </row>
    <row r="5" spans="2:106" x14ac:dyDescent="0.25">
      <c r="B5" s="76" t="s">
        <v>251</v>
      </c>
      <c r="C5" s="77">
        <v>1</v>
      </c>
      <c r="I5" s="78" t="s">
        <v>0</v>
      </c>
      <c r="J5" s="75" t="s">
        <v>2</v>
      </c>
      <c r="K5" s="73" t="s">
        <v>293</v>
      </c>
      <c r="S5" s="78" t="s">
        <v>0</v>
      </c>
      <c r="T5" s="75" t="s">
        <v>2</v>
      </c>
      <c r="U5" s="73" t="s">
        <v>276</v>
      </c>
      <c r="V5" s="73" t="s">
        <v>274</v>
      </c>
      <c r="X5" s="75" t="s">
        <v>2</v>
      </c>
      <c r="Y5" s="73" t="s">
        <v>293</v>
      </c>
      <c r="Z5" s="73"/>
      <c r="AA5" s="68"/>
      <c r="AC5" s="75" t="s">
        <v>2</v>
      </c>
      <c r="AD5" s="73" t="s">
        <v>293</v>
      </c>
      <c r="AE5" s="73"/>
      <c r="AF5" s="73"/>
      <c r="AG5" s="73"/>
      <c r="AH5" s="73"/>
      <c r="AI5" s="68"/>
      <c r="AJ5" s="73"/>
      <c r="AK5" s="70" t="s">
        <v>294</v>
      </c>
      <c r="AL5" s="71" t="e">
        <f>COUNTIFS(#REF!,AL$4)</f>
        <v>#REF!</v>
      </c>
      <c r="AM5" s="71" t="e">
        <f>COUNTIFS(#REF!,AM$4)</f>
        <v>#REF!</v>
      </c>
      <c r="AN5" s="71" t="e">
        <f>COUNTIFS(#REF!,AN$4)</f>
        <v>#REF!</v>
      </c>
      <c r="AO5" s="71" t="e">
        <f>COUNTIFS(#REF!,AO$4)</f>
        <v>#REF!</v>
      </c>
      <c r="AP5" s="71" t="e">
        <f>COUNTIFS(#REF!,AP$4)</f>
        <v>#REF!</v>
      </c>
      <c r="AQ5" s="71" t="e">
        <f>COUNTIFS(#REF!,AQ$4)</f>
        <v>#REF!</v>
      </c>
      <c r="AR5" s="71" t="e">
        <f>COUNTIFS(#REF!,AR$4)</f>
        <v>#REF!</v>
      </c>
      <c r="AS5" s="71" t="e">
        <f>COUNTIFS(#REF!,AS$4)</f>
        <v>#REF!</v>
      </c>
      <c r="AT5" s="71" t="e">
        <f>COUNTIFS(#REF!,AT$4)</f>
        <v>#REF!</v>
      </c>
      <c r="AU5" s="71" t="e">
        <f>COUNTIFS(#REF!,AU$4)</f>
        <v>#REF!</v>
      </c>
      <c r="AV5" s="71" t="e">
        <f>COUNTIFS(#REF!,AV$4)</f>
        <v>#REF!</v>
      </c>
      <c r="AW5" s="71" t="e">
        <f>COUNTIFS(#REF!,AW$4)</f>
        <v>#REF!</v>
      </c>
      <c r="BA5" s="76" t="s">
        <v>251</v>
      </c>
      <c r="BB5" s="77">
        <v>1</v>
      </c>
      <c r="BD5" s="76" t="s">
        <v>39</v>
      </c>
      <c r="BE5" s="77">
        <v>35</v>
      </c>
      <c r="BF5" s="77">
        <v>35</v>
      </c>
      <c r="BK5" s="75" t="s">
        <v>232</v>
      </c>
      <c r="BL5" s="73" t="s">
        <v>39</v>
      </c>
      <c r="BM5" s="73" t="s">
        <v>30</v>
      </c>
      <c r="BN5" s="73" t="s">
        <v>157</v>
      </c>
      <c r="BO5" s="73" t="s">
        <v>196</v>
      </c>
      <c r="BP5" s="73" t="s">
        <v>295</v>
      </c>
      <c r="BU5" s="75" t="s">
        <v>232</v>
      </c>
      <c r="BV5" s="70" t="s">
        <v>23</v>
      </c>
      <c r="BW5" s="70" t="s">
        <v>25</v>
      </c>
      <c r="BX5" s="70" t="s">
        <v>17</v>
      </c>
      <c r="BY5" s="70" t="s">
        <v>241</v>
      </c>
      <c r="BZ5" s="70" t="s">
        <v>255</v>
      </c>
      <c r="CA5" s="70" t="s">
        <v>19</v>
      </c>
      <c r="CB5" s="70" t="s">
        <v>22</v>
      </c>
      <c r="CC5" s="70" t="s">
        <v>254</v>
      </c>
      <c r="CD5" s="70" t="s">
        <v>250</v>
      </c>
      <c r="CE5" s="70" t="s">
        <v>26</v>
      </c>
      <c r="CF5" s="70" t="s">
        <v>13</v>
      </c>
      <c r="CG5" s="70" t="s">
        <v>258</v>
      </c>
      <c r="CH5" s="73" t="s">
        <v>295</v>
      </c>
      <c r="CI5" s="73"/>
      <c r="CJ5" s="73"/>
      <c r="CL5" s="73"/>
      <c r="CM5" s="78" t="s">
        <v>232</v>
      </c>
      <c r="CN5" s="70" t="s">
        <v>23</v>
      </c>
      <c r="CO5" s="70" t="s">
        <v>25</v>
      </c>
      <c r="CP5" s="70" t="s">
        <v>17</v>
      </c>
      <c r="CQ5" s="70" t="s">
        <v>241</v>
      </c>
      <c r="CR5" s="70" t="s">
        <v>255</v>
      </c>
      <c r="CS5" s="70" t="s">
        <v>19</v>
      </c>
      <c r="CT5" s="70" t="s">
        <v>22</v>
      </c>
      <c r="CU5" s="71" t="s">
        <v>254</v>
      </c>
      <c r="CV5" s="70" t="s">
        <v>250</v>
      </c>
      <c r="CW5" s="70" t="s">
        <v>26</v>
      </c>
      <c r="CX5" s="70" t="s">
        <v>13</v>
      </c>
      <c r="CY5" s="70" t="s">
        <v>258</v>
      </c>
      <c r="CZ5" s="83" t="s">
        <v>295</v>
      </c>
      <c r="DB5" s="68"/>
    </row>
    <row r="6" spans="2:106" x14ac:dyDescent="0.25">
      <c r="B6" s="76" t="s">
        <v>237</v>
      </c>
      <c r="C6" s="77">
        <v>5</v>
      </c>
      <c r="I6" s="73" t="s">
        <v>251</v>
      </c>
      <c r="J6" s="73" t="s">
        <v>17</v>
      </c>
      <c r="K6" s="77">
        <v>1</v>
      </c>
      <c r="S6" s="73" t="s">
        <v>251</v>
      </c>
      <c r="T6" s="73" t="s">
        <v>17</v>
      </c>
      <c r="U6" s="77">
        <v>0</v>
      </c>
      <c r="V6" s="77">
        <v>1</v>
      </c>
      <c r="X6" s="73" t="s">
        <v>23</v>
      </c>
      <c r="Y6" s="79">
        <v>129.68299999999999</v>
      </c>
      <c r="Z6" s="73"/>
      <c r="AA6" s="68"/>
      <c r="AC6" s="73" t="s">
        <v>23</v>
      </c>
      <c r="AD6" s="77">
        <v>9</v>
      </c>
      <c r="AE6" s="73"/>
      <c r="AF6" s="73"/>
      <c r="AG6" s="73"/>
      <c r="AH6" s="73"/>
      <c r="AI6" s="68"/>
      <c r="AJ6" s="73"/>
      <c r="AK6" s="70" t="s">
        <v>296</v>
      </c>
      <c r="AL6" s="71" t="e">
        <f>AL5</f>
        <v>#REF!</v>
      </c>
      <c r="AM6" s="71" t="e">
        <f>AL6+AM5</f>
        <v>#REF!</v>
      </c>
      <c r="AN6" s="71" t="e">
        <f t="shared" ref="AN6:AO6" si="0">AM6+AN5</f>
        <v>#REF!</v>
      </c>
      <c r="AO6" s="71" t="e">
        <f t="shared" si="0"/>
        <v>#REF!</v>
      </c>
      <c r="AP6" s="71" t="str">
        <f>IFERROR(AO6+AP5,"")</f>
        <v/>
      </c>
      <c r="AQ6" s="71" t="str">
        <f t="shared" ref="AQ6:AW6" si="1">IFERROR(AP6+AQ5,"")</f>
        <v/>
      </c>
      <c r="AR6" s="71" t="str">
        <f t="shared" si="1"/>
        <v/>
      </c>
      <c r="AS6" s="71" t="str">
        <f t="shared" si="1"/>
        <v/>
      </c>
      <c r="AT6" s="71" t="str">
        <f t="shared" si="1"/>
        <v/>
      </c>
      <c r="AU6" s="71" t="str">
        <f t="shared" si="1"/>
        <v/>
      </c>
      <c r="AV6" s="71" t="str">
        <f t="shared" si="1"/>
        <v/>
      </c>
      <c r="AW6" s="71" t="str">
        <f t="shared" si="1"/>
        <v/>
      </c>
      <c r="BA6" s="76" t="s">
        <v>237</v>
      </c>
      <c r="BB6" s="77">
        <v>5</v>
      </c>
      <c r="BD6" s="76" t="s">
        <v>30</v>
      </c>
      <c r="BE6" s="77">
        <v>16</v>
      </c>
      <c r="BF6" s="77">
        <v>16</v>
      </c>
      <c r="BK6" s="80" t="s">
        <v>23</v>
      </c>
      <c r="BL6" s="81">
        <v>3</v>
      </c>
      <c r="BM6" s="81">
        <v>4</v>
      </c>
      <c r="BN6" s="81">
        <v>2</v>
      </c>
      <c r="BO6" s="81"/>
      <c r="BP6" s="81">
        <v>9</v>
      </c>
      <c r="BU6" s="80" t="s">
        <v>278</v>
      </c>
      <c r="BV6" s="81">
        <v>1</v>
      </c>
      <c r="BW6" s="81">
        <v>1</v>
      </c>
      <c r="BX6" s="81"/>
      <c r="BY6" s="81"/>
      <c r="BZ6" s="81"/>
      <c r="CA6" s="81"/>
      <c r="CB6" s="81"/>
      <c r="CC6" s="81"/>
      <c r="CD6" s="81"/>
      <c r="CE6" s="81"/>
      <c r="CF6" s="81"/>
      <c r="CG6" s="81"/>
      <c r="CH6" s="81">
        <v>2</v>
      </c>
      <c r="CI6" s="73"/>
      <c r="CJ6" s="73"/>
      <c r="CL6" s="73"/>
      <c r="CM6" s="76" t="s">
        <v>278</v>
      </c>
      <c r="CN6" s="81">
        <v>1</v>
      </c>
      <c r="CO6" s="81">
        <v>1</v>
      </c>
      <c r="CP6" s="81"/>
      <c r="CQ6" s="81"/>
      <c r="CR6" s="81"/>
      <c r="CS6" s="81"/>
      <c r="CT6" s="81"/>
      <c r="CU6" s="81"/>
      <c r="CV6" s="81"/>
      <c r="CW6" s="81"/>
      <c r="CX6" s="81"/>
      <c r="CY6" s="81"/>
      <c r="CZ6" s="81">
        <v>2</v>
      </c>
      <c r="DB6" s="86"/>
    </row>
    <row r="7" spans="2:106" x14ac:dyDescent="0.25">
      <c r="B7" s="76" t="s">
        <v>18</v>
      </c>
      <c r="C7" s="77">
        <v>35</v>
      </c>
      <c r="I7" s="73" t="s">
        <v>237</v>
      </c>
      <c r="J7" s="73" t="s">
        <v>23</v>
      </c>
      <c r="K7" s="77">
        <v>5</v>
      </c>
      <c r="S7" s="73" t="s">
        <v>237</v>
      </c>
      <c r="T7" s="73" t="s">
        <v>23</v>
      </c>
      <c r="U7" s="77">
        <v>129.68299999999999</v>
      </c>
      <c r="V7" s="77">
        <v>5</v>
      </c>
      <c r="X7" s="73" t="s">
        <v>25</v>
      </c>
      <c r="Y7" s="79">
        <v>1265</v>
      </c>
      <c r="Z7" s="73"/>
      <c r="AA7" s="68"/>
      <c r="AC7" s="73" t="s">
        <v>25</v>
      </c>
      <c r="AD7" s="77">
        <v>2</v>
      </c>
      <c r="AE7" s="73"/>
      <c r="AF7" s="73"/>
      <c r="AG7" s="73"/>
      <c r="AH7" s="73"/>
      <c r="AI7" s="68"/>
      <c r="AJ7" s="73"/>
      <c r="AL7" s="73"/>
      <c r="AM7" s="73"/>
      <c r="AN7" s="73"/>
      <c r="AO7" s="73"/>
      <c r="AP7" s="73"/>
      <c r="AQ7" s="73"/>
      <c r="AR7" s="73"/>
      <c r="AS7" s="73"/>
      <c r="BA7" s="76" t="s">
        <v>18</v>
      </c>
      <c r="BB7" s="77">
        <v>35</v>
      </c>
      <c r="BD7" s="76" t="s">
        <v>157</v>
      </c>
      <c r="BE7" s="77">
        <v>9</v>
      </c>
      <c r="BF7" s="77">
        <v>9</v>
      </c>
      <c r="BK7" s="80" t="s">
        <v>25</v>
      </c>
      <c r="BL7" s="81"/>
      <c r="BM7" s="81">
        <v>2</v>
      </c>
      <c r="BN7" s="81"/>
      <c r="BO7" s="81"/>
      <c r="BP7" s="81">
        <v>2</v>
      </c>
      <c r="BU7" s="80" t="s">
        <v>279</v>
      </c>
      <c r="BV7" s="81">
        <v>4</v>
      </c>
      <c r="BW7" s="81"/>
      <c r="BX7" s="81">
        <v>1</v>
      </c>
      <c r="BY7" s="81"/>
      <c r="BZ7" s="81"/>
      <c r="CA7" s="81"/>
      <c r="CB7" s="81"/>
      <c r="CC7" s="81"/>
      <c r="CD7" s="81"/>
      <c r="CE7" s="81"/>
      <c r="CF7" s="81"/>
      <c r="CG7" s="81"/>
      <c r="CH7" s="81">
        <v>5</v>
      </c>
      <c r="CI7" s="73"/>
      <c r="CJ7" s="73"/>
      <c r="CL7" s="73"/>
      <c r="CM7" s="76" t="s">
        <v>279</v>
      </c>
      <c r="CN7" s="81">
        <v>4</v>
      </c>
      <c r="CO7" s="81"/>
      <c r="CP7" s="81">
        <v>1</v>
      </c>
      <c r="CQ7" s="81"/>
      <c r="CR7" s="81"/>
      <c r="CS7" s="81"/>
      <c r="CT7" s="81"/>
      <c r="CU7" s="81"/>
      <c r="CV7" s="81"/>
      <c r="CW7" s="81"/>
      <c r="CX7" s="81"/>
      <c r="CY7" s="81"/>
      <c r="CZ7" s="81">
        <v>5</v>
      </c>
      <c r="DB7" s="86"/>
    </row>
    <row r="8" spans="2:106" x14ac:dyDescent="0.25">
      <c r="B8" s="76" t="s">
        <v>233</v>
      </c>
      <c r="C8" s="77">
        <v>3</v>
      </c>
      <c r="I8" s="73" t="s">
        <v>18</v>
      </c>
      <c r="J8" s="73" t="s">
        <v>23</v>
      </c>
      <c r="K8" s="77">
        <v>3</v>
      </c>
      <c r="S8" s="73" t="s">
        <v>18</v>
      </c>
      <c r="T8" s="73" t="s">
        <v>23</v>
      </c>
      <c r="U8" s="77">
        <v>0</v>
      </c>
      <c r="V8" s="77">
        <v>3</v>
      </c>
      <c r="X8" s="73" t="s">
        <v>17</v>
      </c>
      <c r="Y8" s="79">
        <v>344.15245000000004</v>
      </c>
      <c r="Z8" s="73"/>
      <c r="AA8" s="68"/>
      <c r="AC8" s="73" t="s">
        <v>17</v>
      </c>
      <c r="AD8" s="77">
        <v>27</v>
      </c>
      <c r="AE8" s="73"/>
      <c r="AF8" s="73"/>
      <c r="AG8" s="73"/>
      <c r="AH8" s="73"/>
      <c r="AI8" s="68"/>
      <c r="AJ8" s="73"/>
      <c r="AK8" s="73"/>
      <c r="AL8" s="73"/>
      <c r="AM8" s="73"/>
      <c r="AN8" s="73"/>
      <c r="AO8" s="73"/>
      <c r="AP8" s="73"/>
      <c r="AQ8" s="73"/>
      <c r="AR8" s="73"/>
      <c r="AS8" s="73"/>
      <c r="BA8" s="76" t="s">
        <v>233</v>
      </c>
      <c r="BB8" s="77">
        <v>3</v>
      </c>
      <c r="BD8" s="76" t="s">
        <v>196</v>
      </c>
      <c r="BE8" s="77">
        <v>3</v>
      </c>
      <c r="BF8" s="77">
        <v>3</v>
      </c>
      <c r="BK8" s="80" t="s">
        <v>17</v>
      </c>
      <c r="BL8" s="81">
        <v>19</v>
      </c>
      <c r="BM8" s="81">
        <v>3</v>
      </c>
      <c r="BN8" s="81">
        <v>4</v>
      </c>
      <c r="BO8" s="81">
        <v>1</v>
      </c>
      <c r="BP8" s="81">
        <v>27</v>
      </c>
      <c r="BU8" s="80" t="s">
        <v>280</v>
      </c>
      <c r="BV8" s="81"/>
      <c r="BW8" s="81"/>
      <c r="BX8" s="81">
        <v>2</v>
      </c>
      <c r="BY8" s="81"/>
      <c r="BZ8" s="81"/>
      <c r="CA8" s="81"/>
      <c r="CB8" s="81"/>
      <c r="CC8" s="81"/>
      <c r="CD8" s="81"/>
      <c r="CE8" s="81"/>
      <c r="CF8" s="81"/>
      <c r="CG8" s="81"/>
      <c r="CH8" s="81">
        <v>2</v>
      </c>
      <c r="CM8" s="76" t="s">
        <v>280</v>
      </c>
      <c r="CN8" s="81"/>
      <c r="CO8" s="81"/>
      <c r="CP8" s="81">
        <v>2</v>
      </c>
      <c r="CQ8" s="81"/>
      <c r="CR8" s="81"/>
      <c r="CS8" s="81"/>
      <c r="CT8" s="81"/>
      <c r="CU8" s="81"/>
      <c r="CV8" s="81"/>
      <c r="CW8" s="81"/>
      <c r="CX8" s="81"/>
      <c r="CY8" s="81"/>
      <c r="CZ8" s="81">
        <v>2</v>
      </c>
      <c r="DB8" s="86"/>
    </row>
    <row r="9" spans="2:106" x14ac:dyDescent="0.25">
      <c r="B9" s="76" t="s">
        <v>257</v>
      </c>
      <c r="C9" s="77">
        <v>2</v>
      </c>
      <c r="I9" s="73"/>
      <c r="J9" s="73" t="s">
        <v>17</v>
      </c>
      <c r="K9" s="77">
        <v>11</v>
      </c>
      <c r="S9" s="73"/>
      <c r="T9" s="73" t="s">
        <v>17</v>
      </c>
      <c r="U9" s="77">
        <v>344.15245000000004</v>
      </c>
      <c r="V9" s="77">
        <v>11</v>
      </c>
      <c r="X9" s="73" t="s">
        <v>241</v>
      </c>
      <c r="Y9" s="79">
        <v>289.83250161600006</v>
      </c>
      <c r="Z9" s="73"/>
      <c r="AA9" s="68"/>
      <c r="AC9" s="73" t="s">
        <v>241</v>
      </c>
      <c r="AD9" s="77">
        <v>6</v>
      </c>
      <c r="AE9" s="73"/>
      <c r="AF9" s="73"/>
      <c r="AG9" s="73"/>
      <c r="AH9" s="73"/>
      <c r="AI9" s="68"/>
      <c r="AJ9" s="73"/>
      <c r="BA9" s="76" t="s">
        <v>257</v>
      </c>
      <c r="BB9" s="77">
        <v>2</v>
      </c>
      <c r="BD9" s="76" t="s">
        <v>295</v>
      </c>
      <c r="BE9" s="77">
        <v>63</v>
      </c>
      <c r="BF9" s="77">
        <v>63</v>
      </c>
      <c r="BK9" s="80" t="s">
        <v>241</v>
      </c>
      <c r="BL9" s="81">
        <v>3</v>
      </c>
      <c r="BM9" s="81">
        <v>2</v>
      </c>
      <c r="BN9" s="81"/>
      <c r="BO9" s="81">
        <v>1</v>
      </c>
      <c r="BP9" s="81">
        <v>6</v>
      </c>
      <c r="BU9" s="80" t="s">
        <v>281</v>
      </c>
      <c r="BV9" s="81"/>
      <c r="BW9" s="81"/>
      <c r="BX9" s="81">
        <v>1</v>
      </c>
      <c r="BY9" s="81"/>
      <c r="BZ9" s="81"/>
      <c r="CA9" s="81"/>
      <c r="CB9" s="81"/>
      <c r="CC9" s="81"/>
      <c r="CD9" s="81"/>
      <c r="CE9" s="81"/>
      <c r="CF9" s="81"/>
      <c r="CG9" s="81"/>
      <c r="CH9" s="81">
        <v>1</v>
      </c>
      <c r="CM9" s="76" t="s">
        <v>281</v>
      </c>
      <c r="CN9" s="81"/>
      <c r="CO9" s="81"/>
      <c r="CP9" s="81">
        <v>1</v>
      </c>
      <c r="CQ9" s="81"/>
      <c r="CR9" s="81"/>
      <c r="CS9" s="81"/>
      <c r="CT9" s="81"/>
      <c r="CU9" s="81"/>
      <c r="CV9" s="81"/>
      <c r="CW9" s="81"/>
      <c r="CX9" s="81"/>
      <c r="CY9" s="81"/>
      <c r="CZ9" s="81">
        <v>1</v>
      </c>
      <c r="DB9" s="86"/>
    </row>
    <row r="10" spans="2:106" x14ac:dyDescent="0.25">
      <c r="B10" s="76" t="s">
        <v>297</v>
      </c>
      <c r="C10" s="77">
        <v>1</v>
      </c>
      <c r="I10" s="73"/>
      <c r="J10" s="73" t="s">
        <v>241</v>
      </c>
      <c r="K10" s="77">
        <v>3</v>
      </c>
      <c r="S10" s="73"/>
      <c r="T10" s="73" t="s">
        <v>241</v>
      </c>
      <c r="U10" s="77">
        <v>120.52446000000002</v>
      </c>
      <c r="V10" s="77">
        <v>3</v>
      </c>
      <c r="X10" s="73" t="s">
        <v>255</v>
      </c>
      <c r="Y10" s="79">
        <v>229.17142500000003</v>
      </c>
      <c r="Z10" s="73"/>
      <c r="AA10" s="68"/>
      <c r="AC10" s="73" t="s">
        <v>255</v>
      </c>
      <c r="AD10" s="77">
        <v>1</v>
      </c>
      <c r="AE10" s="73"/>
      <c r="AF10" s="73"/>
      <c r="AG10" s="73"/>
      <c r="AH10" s="73"/>
      <c r="AI10" s="68"/>
      <c r="AJ10" s="73"/>
      <c r="BA10" s="76" t="s">
        <v>297</v>
      </c>
      <c r="BB10" s="77">
        <v>1</v>
      </c>
      <c r="BD10" s="73"/>
      <c r="BE10" s="73"/>
      <c r="BF10" s="73"/>
      <c r="BK10" s="80" t="s">
        <v>255</v>
      </c>
      <c r="BL10" s="81">
        <v>1</v>
      </c>
      <c r="BM10" s="81"/>
      <c r="BN10" s="81"/>
      <c r="BO10" s="81"/>
      <c r="BP10" s="81">
        <v>1</v>
      </c>
      <c r="BU10" s="80" t="s">
        <v>283</v>
      </c>
      <c r="BV10" s="81">
        <v>2</v>
      </c>
      <c r="BW10" s="81"/>
      <c r="BX10" s="81"/>
      <c r="BY10" s="81">
        <v>2</v>
      </c>
      <c r="BZ10" s="81">
        <v>1</v>
      </c>
      <c r="CA10" s="81"/>
      <c r="CB10" s="81"/>
      <c r="CC10" s="81"/>
      <c r="CD10" s="81"/>
      <c r="CE10" s="81"/>
      <c r="CF10" s="81"/>
      <c r="CG10" s="81"/>
      <c r="CH10" s="81">
        <v>5</v>
      </c>
      <c r="CM10" s="76" t="s">
        <v>283</v>
      </c>
      <c r="CN10" s="81">
        <v>2</v>
      </c>
      <c r="CO10" s="81"/>
      <c r="CP10" s="81"/>
      <c r="CQ10" s="81">
        <v>2</v>
      </c>
      <c r="CR10" s="81">
        <v>1</v>
      </c>
      <c r="CS10" s="81"/>
      <c r="CT10" s="81"/>
      <c r="CU10" s="81"/>
      <c r="CV10" s="81"/>
      <c r="CW10" s="81"/>
      <c r="CX10" s="81"/>
      <c r="CY10" s="81"/>
      <c r="CZ10" s="81">
        <v>5</v>
      </c>
      <c r="DB10" s="86"/>
    </row>
    <row r="11" spans="2:106" x14ac:dyDescent="0.25">
      <c r="B11" s="76" t="s">
        <v>259</v>
      </c>
      <c r="C11" s="77">
        <v>15</v>
      </c>
      <c r="I11" s="73"/>
      <c r="J11" s="73" t="s">
        <v>255</v>
      </c>
      <c r="K11" s="77">
        <v>1</v>
      </c>
      <c r="S11" s="73"/>
      <c r="T11" s="73" t="s">
        <v>255</v>
      </c>
      <c r="U11" s="77">
        <v>229.17142500000003</v>
      </c>
      <c r="V11" s="77">
        <v>1</v>
      </c>
      <c r="X11" s="73" t="s">
        <v>19</v>
      </c>
      <c r="Y11" s="79">
        <v>172.17779999999999</v>
      </c>
      <c r="AC11" s="73" t="s">
        <v>19</v>
      </c>
      <c r="AD11" s="77">
        <v>2</v>
      </c>
      <c r="AE11" s="73"/>
      <c r="AF11" s="73"/>
      <c r="AG11" s="73"/>
      <c r="AH11" s="73"/>
      <c r="AI11" s="68"/>
      <c r="AJ11" s="73"/>
      <c r="BA11" s="76" t="s">
        <v>259</v>
      </c>
      <c r="BB11" s="77">
        <v>15</v>
      </c>
      <c r="BD11" s="73"/>
      <c r="BE11" s="73"/>
      <c r="BF11" s="73"/>
      <c r="BK11" s="80" t="s">
        <v>19</v>
      </c>
      <c r="BL11" s="81">
        <v>1</v>
      </c>
      <c r="BM11" s="81">
        <v>1</v>
      </c>
      <c r="BN11" s="81"/>
      <c r="BO11" s="81"/>
      <c r="BP11" s="81">
        <v>2</v>
      </c>
      <c r="BU11" s="80" t="s">
        <v>284</v>
      </c>
      <c r="BV11" s="81"/>
      <c r="BW11" s="81"/>
      <c r="BX11" s="81">
        <v>4</v>
      </c>
      <c r="BY11" s="81"/>
      <c r="BZ11" s="81"/>
      <c r="CA11" s="81">
        <v>1</v>
      </c>
      <c r="CB11" s="81">
        <v>1</v>
      </c>
      <c r="CC11" s="81"/>
      <c r="CD11" s="81"/>
      <c r="CE11" s="81"/>
      <c r="CF11" s="81"/>
      <c r="CG11" s="81"/>
      <c r="CH11" s="81">
        <v>6</v>
      </c>
      <c r="CM11" s="76" t="s">
        <v>284</v>
      </c>
      <c r="CN11" s="81"/>
      <c r="CO11" s="81"/>
      <c r="CP11" s="81">
        <v>4</v>
      </c>
      <c r="CQ11" s="81"/>
      <c r="CR11" s="81"/>
      <c r="CS11" s="81">
        <v>1</v>
      </c>
      <c r="CT11" s="81">
        <v>1</v>
      </c>
      <c r="CU11" s="81"/>
      <c r="CV11" s="81"/>
      <c r="CW11" s="81"/>
      <c r="CX11" s="81"/>
      <c r="CY11" s="81"/>
      <c r="CZ11" s="81">
        <v>6</v>
      </c>
      <c r="DB11" s="86"/>
    </row>
    <row r="12" spans="2:106" x14ac:dyDescent="0.25">
      <c r="B12" s="76" t="s">
        <v>261</v>
      </c>
      <c r="C12" s="77">
        <v>1</v>
      </c>
      <c r="I12" s="73"/>
      <c r="J12" s="73" t="s">
        <v>19</v>
      </c>
      <c r="K12" s="77">
        <v>2</v>
      </c>
      <c r="S12" s="73"/>
      <c r="T12" s="73" t="s">
        <v>19</v>
      </c>
      <c r="U12" s="77">
        <v>172.17779999999999</v>
      </c>
      <c r="V12" s="77">
        <v>2</v>
      </c>
      <c r="X12" s="73" t="s">
        <v>22</v>
      </c>
      <c r="Y12" s="77">
        <v>2564.8700000000003</v>
      </c>
      <c r="AC12" s="73" t="s">
        <v>22</v>
      </c>
      <c r="AD12" s="77">
        <v>2</v>
      </c>
      <c r="AE12" s="73"/>
      <c r="AF12" s="73"/>
      <c r="AG12" s="73"/>
      <c r="AH12" s="73"/>
      <c r="AI12" s="68"/>
      <c r="AJ12" s="73"/>
      <c r="AK12" s="73"/>
      <c r="AL12" s="73"/>
      <c r="AM12" s="73"/>
      <c r="AN12" s="73"/>
      <c r="AO12" s="73"/>
      <c r="AP12" s="73"/>
      <c r="AQ12" s="73"/>
      <c r="AR12" s="73"/>
      <c r="AS12" s="73"/>
      <c r="BA12" s="76" t="s">
        <v>261</v>
      </c>
      <c r="BB12" s="77">
        <v>1</v>
      </c>
      <c r="BD12" s="73"/>
      <c r="BE12" s="73"/>
      <c r="BF12" s="73"/>
      <c r="BK12" s="80" t="s">
        <v>22</v>
      </c>
      <c r="BL12" s="81">
        <v>1</v>
      </c>
      <c r="BM12" s="81">
        <v>1</v>
      </c>
      <c r="BN12" s="81"/>
      <c r="BO12" s="81"/>
      <c r="BP12" s="81">
        <v>2</v>
      </c>
      <c r="BU12" s="80" t="s">
        <v>286</v>
      </c>
      <c r="BV12" s="81"/>
      <c r="BW12" s="81"/>
      <c r="BX12" s="81">
        <v>12</v>
      </c>
      <c r="BY12" s="81">
        <v>1</v>
      </c>
      <c r="BZ12" s="81"/>
      <c r="CA12" s="81"/>
      <c r="CB12" s="81"/>
      <c r="CC12" s="81">
        <v>1</v>
      </c>
      <c r="CD12" s="81">
        <v>2</v>
      </c>
      <c r="CE12" s="81">
        <v>1</v>
      </c>
      <c r="CF12" s="81">
        <v>1</v>
      </c>
      <c r="CG12" s="81">
        <v>1</v>
      </c>
      <c r="CH12" s="81">
        <v>19</v>
      </c>
      <c r="CM12" s="76" t="s">
        <v>286</v>
      </c>
      <c r="CN12" s="81"/>
      <c r="CO12" s="81"/>
      <c r="CP12" s="81">
        <v>12</v>
      </c>
      <c r="CQ12" s="81">
        <v>1</v>
      </c>
      <c r="CR12" s="81"/>
      <c r="CS12" s="81"/>
      <c r="CT12" s="81"/>
      <c r="CU12" s="81">
        <v>1</v>
      </c>
      <c r="CV12" s="81">
        <v>2</v>
      </c>
      <c r="CW12" s="81">
        <v>1</v>
      </c>
      <c r="CX12" s="81">
        <v>1</v>
      </c>
      <c r="CY12" s="81">
        <v>1</v>
      </c>
      <c r="CZ12" s="81">
        <v>19</v>
      </c>
      <c r="DB12" s="86"/>
    </row>
    <row r="13" spans="2:106" x14ac:dyDescent="0.25">
      <c r="B13" s="76" t="s">
        <v>295</v>
      </c>
      <c r="C13" s="77">
        <v>63</v>
      </c>
      <c r="I13" s="73"/>
      <c r="J13" s="73" t="s">
        <v>22</v>
      </c>
      <c r="K13" s="77">
        <v>1</v>
      </c>
      <c r="S13" s="73"/>
      <c r="T13" s="73" t="s">
        <v>22</v>
      </c>
      <c r="U13" s="77">
        <v>0</v>
      </c>
      <c r="V13" s="77">
        <v>1</v>
      </c>
      <c r="X13" s="73" t="s">
        <v>254</v>
      </c>
      <c r="Y13" s="77">
        <v>427.57487000000003</v>
      </c>
      <c r="AC13" s="73" t="s">
        <v>254</v>
      </c>
      <c r="AD13" s="77">
        <v>8</v>
      </c>
      <c r="AE13" s="73"/>
      <c r="AF13" s="73"/>
      <c r="AG13" s="73"/>
      <c r="AH13" s="73"/>
      <c r="AI13" s="68"/>
      <c r="AJ13" s="73"/>
      <c r="AK13" s="73"/>
      <c r="AL13" s="73"/>
      <c r="AM13" s="73"/>
      <c r="AN13" s="73"/>
      <c r="AO13" s="73"/>
      <c r="AP13" s="73"/>
      <c r="AQ13" s="73"/>
      <c r="AR13" s="73"/>
      <c r="AS13" s="73"/>
      <c r="BA13" s="76" t="s">
        <v>295</v>
      </c>
      <c r="BB13" s="77">
        <v>63</v>
      </c>
      <c r="BD13" s="73"/>
      <c r="BE13" s="73"/>
      <c r="BK13" s="80" t="s">
        <v>254</v>
      </c>
      <c r="BL13" s="81">
        <v>3</v>
      </c>
      <c r="BM13" s="81">
        <v>2</v>
      </c>
      <c r="BN13" s="81">
        <v>3</v>
      </c>
      <c r="BO13" s="81"/>
      <c r="BP13" s="81">
        <v>8</v>
      </c>
      <c r="BU13" s="80" t="s">
        <v>287</v>
      </c>
      <c r="BV13" s="81">
        <v>2</v>
      </c>
      <c r="BW13" s="81">
        <v>1</v>
      </c>
      <c r="BX13" s="81">
        <v>7</v>
      </c>
      <c r="BY13" s="81">
        <v>3</v>
      </c>
      <c r="BZ13" s="81"/>
      <c r="CA13" s="81">
        <v>1</v>
      </c>
      <c r="CB13" s="81">
        <v>1</v>
      </c>
      <c r="CC13" s="81">
        <v>7</v>
      </c>
      <c r="CD13" s="81"/>
      <c r="CE13" s="81"/>
      <c r="CF13" s="81"/>
      <c r="CG13" s="81">
        <v>1</v>
      </c>
      <c r="CH13" s="81">
        <v>23</v>
      </c>
      <c r="CM13" s="76" t="s">
        <v>287</v>
      </c>
      <c r="CN13" s="81">
        <v>2</v>
      </c>
      <c r="CO13" s="81">
        <v>1</v>
      </c>
      <c r="CP13" s="81">
        <v>7</v>
      </c>
      <c r="CQ13" s="81">
        <v>3</v>
      </c>
      <c r="CR13" s="81"/>
      <c r="CS13" s="81">
        <v>1</v>
      </c>
      <c r="CT13" s="81">
        <v>1</v>
      </c>
      <c r="CU13" s="81">
        <v>7</v>
      </c>
      <c r="CV13" s="81"/>
      <c r="CW13" s="81"/>
      <c r="CX13" s="81"/>
      <c r="CY13" s="81">
        <v>1</v>
      </c>
      <c r="CZ13" s="81">
        <v>23</v>
      </c>
      <c r="DB13" s="86"/>
    </row>
    <row r="14" spans="2:106" x14ac:dyDescent="0.25">
      <c r="B14" s="73"/>
      <c r="C14" s="73"/>
      <c r="I14" s="73"/>
      <c r="J14" s="73" t="s">
        <v>254</v>
      </c>
      <c r="K14" s="77">
        <v>8</v>
      </c>
      <c r="S14" s="73"/>
      <c r="T14" s="73" t="s">
        <v>254</v>
      </c>
      <c r="U14" s="77">
        <v>427.57487000000003</v>
      </c>
      <c r="V14" s="77">
        <v>8</v>
      </c>
      <c r="X14" s="73" t="s">
        <v>250</v>
      </c>
      <c r="Y14" s="77"/>
      <c r="AC14" s="73" t="s">
        <v>250</v>
      </c>
      <c r="AD14" s="77">
        <v>2</v>
      </c>
      <c r="AE14" s="73"/>
      <c r="AF14" s="73"/>
      <c r="AG14" s="73"/>
      <c r="AH14" s="73"/>
      <c r="AI14" s="68"/>
      <c r="AJ14" s="73"/>
      <c r="AK14" s="73"/>
      <c r="AL14" s="73"/>
      <c r="AM14" s="73"/>
      <c r="AN14" s="73"/>
      <c r="AO14" s="73"/>
      <c r="AP14" s="73"/>
      <c r="AQ14" s="73"/>
      <c r="AR14" s="73"/>
      <c r="AS14" s="73"/>
      <c r="BA14" s="73"/>
      <c r="BB14" s="73"/>
      <c r="BD14" s="73"/>
      <c r="BE14" s="73"/>
      <c r="BK14" s="80" t="s">
        <v>250</v>
      </c>
      <c r="BL14" s="81"/>
      <c r="BM14" s="81">
        <v>1</v>
      </c>
      <c r="BN14" s="81"/>
      <c r="BO14" s="81">
        <v>1</v>
      </c>
      <c r="BP14" s="81">
        <v>2</v>
      </c>
      <c r="BU14" s="80" t="s">
        <v>295</v>
      </c>
      <c r="BV14" s="81">
        <v>9</v>
      </c>
      <c r="BW14" s="81">
        <v>2</v>
      </c>
      <c r="BX14" s="81">
        <v>27</v>
      </c>
      <c r="BY14" s="81">
        <v>6</v>
      </c>
      <c r="BZ14" s="81">
        <v>1</v>
      </c>
      <c r="CA14" s="81">
        <v>2</v>
      </c>
      <c r="CB14" s="81">
        <v>2</v>
      </c>
      <c r="CC14" s="81">
        <v>8</v>
      </c>
      <c r="CD14" s="81">
        <v>2</v>
      </c>
      <c r="CE14" s="81">
        <v>1</v>
      </c>
      <c r="CF14" s="81">
        <v>1</v>
      </c>
      <c r="CG14" s="81">
        <v>2</v>
      </c>
      <c r="CH14" s="81">
        <v>63</v>
      </c>
      <c r="CM14" s="82" t="s">
        <v>18</v>
      </c>
      <c r="CN14" s="81">
        <v>1</v>
      </c>
      <c r="CO14" s="81"/>
      <c r="CP14" s="81">
        <v>5</v>
      </c>
      <c r="CQ14" s="81">
        <v>2</v>
      </c>
      <c r="CR14" s="81"/>
      <c r="CS14" s="81">
        <v>1</v>
      </c>
      <c r="CT14" s="81">
        <v>1</v>
      </c>
      <c r="CU14" s="81">
        <v>7</v>
      </c>
      <c r="CV14" s="81"/>
      <c r="CW14" s="81"/>
      <c r="CX14" s="81"/>
      <c r="CY14" s="81">
        <v>1</v>
      </c>
      <c r="CZ14" s="81">
        <v>18</v>
      </c>
      <c r="DB14" s="86"/>
    </row>
    <row r="15" spans="2:106" x14ac:dyDescent="0.25">
      <c r="I15" s="73"/>
      <c r="J15" s="73" t="s">
        <v>250</v>
      </c>
      <c r="K15" s="77">
        <v>2</v>
      </c>
      <c r="S15" s="73"/>
      <c r="T15" s="73" t="s">
        <v>250</v>
      </c>
      <c r="U15" s="77"/>
      <c r="V15" s="77">
        <v>2</v>
      </c>
      <c r="X15" s="73" t="s">
        <v>26</v>
      </c>
      <c r="Y15" s="77">
        <v>405.92125000000004</v>
      </c>
      <c r="AC15" s="73" t="s">
        <v>26</v>
      </c>
      <c r="AD15" s="77">
        <v>1</v>
      </c>
      <c r="AE15" s="73"/>
      <c r="AF15" s="73"/>
      <c r="AG15" s="73"/>
      <c r="AH15" s="73"/>
      <c r="AI15" s="68"/>
      <c r="AJ15" s="73"/>
      <c r="AK15" s="73"/>
      <c r="AL15" s="73"/>
      <c r="AM15" s="73"/>
      <c r="AN15" s="73"/>
      <c r="AO15" s="73"/>
      <c r="AP15" s="73"/>
      <c r="AQ15" s="73"/>
      <c r="AR15" s="73"/>
      <c r="AS15" s="73"/>
      <c r="BD15" s="73"/>
      <c r="BE15" s="73"/>
      <c r="BK15" s="80" t="s">
        <v>26</v>
      </c>
      <c r="BL15" s="81">
        <v>1</v>
      </c>
      <c r="BM15" s="81"/>
      <c r="BN15" s="81"/>
      <c r="BO15" s="81"/>
      <c r="BP15" s="81">
        <v>1</v>
      </c>
      <c r="BU15" s="73"/>
      <c r="BV15" s="73"/>
      <c r="BW15" s="73"/>
      <c r="BX15" s="73"/>
      <c r="BY15" s="73"/>
      <c r="BZ15" s="73"/>
      <c r="CM15" s="84" t="s">
        <v>298</v>
      </c>
      <c r="CN15" s="81"/>
      <c r="CO15" s="81"/>
      <c r="CP15" s="81"/>
      <c r="CQ15" s="81">
        <v>1</v>
      </c>
      <c r="CR15" s="81"/>
      <c r="CS15" s="81"/>
      <c r="CT15" s="81">
        <v>1</v>
      </c>
      <c r="CU15" s="81">
        <v>2</v>
      </c>
      <c r="CV15" s="81"/>
      <c r="CW15" s="81"/>
      <c r="CX15" s="81"/>
      <c r="CY15" s="81">
        <v>1</v>
      </c>
      <c r="CZ15" s="81">
        <v>5</v>
      </c>
      <c r="DB15" s="86"/>
    </row>
    <row r="16" spans="2:106" x14ac:dyDescent="0.25">
      <c r="I16" s="73"/>
      <c r="J16" s="73" t="s">
        <v>26</v>
      </c>
      <c r="K16" s="77">
        <v>1</v>
      </c>
      <c r="S16" s="73"/>
      <c r="T16" s="73" t="s">
        <v>26</v>
      </c>
      <c r="U16" s="77">
        <v>405.92125000000004</v>
      </c>
      <c r="V16" s="77">
        <v>1</v>
      </c>
      <c r="X16" s="73" t="s">
        <v>13</v>
      </c>
      <c r="Y16" s="77">
        <v>330.00745000000001</v>
      </c>
      <c r="AC16" s="73" t="s">
        <v>13</v>
      </c>
      <c r="AD16" s="77">
        <v>1</v>
      </c>
      <c r="AE16" s="73"/>
      <c r="AF16" s="73"/>
      <c r="AG16" s="73"/>
      <c r="AH16" s="73"/>
      <c r="AI16" s="68"/>
      <c r="AJ16" s="73"/>
      <c r="AK16" s="73"/>
      <c r="AL16" s="73"/>
      <c r="AM16" s="73"/>
      <c r="AN16" s="73"/>
      <c r="AO16" s="73"/>
      <c r="AP16" s="73"/>
      <c r="AQ16" s="73"/>
      <c r="AR16" s="73"/>
      <c r="AS16" s="73"/>
      <c r="BD16" s="73"/>
      <c r="BE16" s="73"/>
      <c r="BK16" s="80" t="s">
        <v>13</v>
      </c>
      <c r="BL16" s="81">
        <v>1</v>
      </c>
      <c r="BM16" s="81"/>
      <c r="BN16" s="81"/>
      <c r="BO16" s="81"/>
      <c r="BP16" s="81">
        <v>1</v>
      </c>
      <c r="CM16" s="84" t="s">
        <v>299</v>
      </c>
      <c r="CN16" s="81">
        <v>1</v>
      </c>
      <c r="CO16" s="81"/>
      <c r="CP16" s="81">
        <v>3</v>
      </c>
      <c r="CQ16" s="81"/>
      <c r="CR16" s="81"/>
      <c r="CS16" s="81"/>
      <c r="CT16" s="81"/>
      <c r="CU16" s="81">
        <v>4</v>
      </c>
      <c r="CV16" s="81"/>
      <c r="CW16" s="81"/>
      <c r="CX16" s="81"/>
      <c r="CY16" s="81"/>
      <c r="CZ16" s="81">
        <v>8</v>
      </c>
      <c r="DB16" s="86"/>
    </row>
    <row r="17" spans="2:106" x14ac:dyDescent="0.25">
      <c r="I17" s="73"/>
      <c r="J17" s="73" t="s">
        <v>13</v>
      </c>
      <c r="K17" s="77">
        <v>1</v>
      </c>
      <c r="S17" s="73"/>
      <c r="T17" s="73" t="s">
        <v>13</v>
      </c>
      <c r="U17" s="77">
        <v>330.00745000000001</v>
      </c>
      <c r="V17" s="77">
        <v>1</v>
      </c>
      <c r="X17" s="73" t="s">
        <v>258</v>
      </c>
      <c r="Y17" s="77">
        <v>475.22008000000005</v>
      </c>
      <c r="AC17" s="73" t="s">
        <v>258</v>
      </c>
      <c r="AD17" s="77">
        <v>2</v>
      </c>
      <c r="AE17" s="73"/>
      <c r="AF17" s="73"/>
      <c r="AG17" s="73"/>
      <c r="AH17" s="73"/>
      <c r="AI17" s="68"/>
      <c r="AJ17" s="73"/>
      <c r="AK17" s="73"/>
      <c r="AL17" s="73"/>
      <c r="AM17" s="73"/>
      <c r="AN17" s="73"/>
      <c r="AO17" s="73"/>
      <c r="AP17" s="73"/>
      <c r="AQ17" s="73"/>
      <c r="AR17" s="73"/>
      <c r="AS17" s="73"/>
      <c r="BD17" s="73"/>
      <c r="BE17" s="73"/>
      <c r="BK17" s="80" t="s">
        <v>258</v>
      </c>
      <c r="BL17" s="81">
        <v>2</v>
      </c>
      <c r="BM17" s="81"/>
      <c r="BN17" s="81"/>
      <c r="BO17" s="81"/>
      <c r="BP17" s="81">
        <v>2</v>
      </c>
      <c r="CM17" s="84" t="s">
        <v>300</v>
      </c>
      <c r="CN17" s="81"/>
      <c r="CO17" s="81"/>
      <c r="CP17" s="81">
        <v>1</v>
      </c>
      <c r="CQ17" s="81">
        <v>1</v>
      </c>
      <c r="CR17" s="81"/>
      <c r="CS17" s="81"/>
      <c r="CT17" s="81"/>
      <c r="CU17" s="81">
        <v>1</v>
      </c>
      <c r="CV17" s="81"/>
      <c r="CW17" s="81"/>
      <c r="CX17" s="81"/>
      <c r="CY17" s="81"/>
      <c r="CZ17" s="81">
        <v>3</v>
      </c>
      <c r="DB17" s="86"/>
    </row>
    <row r="18" spans="2:106" x14ac:dyDescent="0.25">
      <c r="B18" s="73"/>
      <c r="C18" s="73"/>
      <c r="D18" s="73"/>
      <c r="E18" s="73"/>
      <c r="F18" s="73"/>
      <c r="I18" s="73"/>
      <c r="J18" s="73" t="s">
        <v>258</v>
      </c>
      <c r="K18" s="77">
        <v>2</v>
      </c>
      <c r="S18" s="73"/>
      <c r="T18" s="73" t="s">
        <v>258</v>
      </c>
      <c r="U18" s="77">
        <v>475.22008000000005</v>
      </c>
      <c r="V18" s="77">
        <v>2</v>
      </c>
      <c r="X18" s="73" t="s">
        <v>295</v>
      </c>
      <c r="Y18" s="79">
        <v>6633.6108266160018</v>
      </c>
      <c r="AC18" s="73" t="s">
        <v>295</v>
      </c>
      <c r="AD18" s="77">
        <v>63</v>
      </c>
      <c r="AE18" s="73"/>
      <c r="AF18" s="73"/>
      <c r="AG18" s="73"/>
      <c r="AH18" s="73"/>
      <c r="AI18" s="68"/>
      <c r="AJ18" s="73"/>
      <c r="AK18" s="73"/>
      <c r="AL18" s="73"/>
      <c r="AM18" s="73"/>
      <c r="AN18" s="73"/>
      <c r="AO18" s="73"/>
      <c r="AP18" s="73"/>
      <c r="AQ18" s="73"/>
      <c r="AR18" s="73"/>
      <c r="AS18" s="73"/>
      <c r="BK18" s="76" t="s">
        <v>295</v>
      </c>
      <c r="BL18" s="77">
        <v>35</v>
      </c>
      <c r="BM18" s="77">
        <v>16</v>
      </c>
      <c r="BN18" s="77">
        <v>9</v>
      </c>
      <c r="BO18" s="77">
        <v>3</v>
      </c>
      <c r="BP18" s="77">
        <v>63</v>
      </c>
      <c r="CM18" s="84" t="s">
        <v>301</v>
      </c>
      <c r="CN18" s="81"/>
      <c r="CO18" s="81"/>
      <c r="CP18" s="81">
        <v>1</v>
      </c>
      <c r="CQ18" s="81"/>
      <c r="CR18" s="81"/>
      <c r="CS18" s="81">
        <v>1</v>
      </c>
      <c r="CT18" s="81"/>
      <c r="CU18" s="81"/>
      <c r="CV18" s="81"/>
      <c r="CW18" s="81"/>
      <c r="CX18" s="81"/>
      <c r="CY18" s="81"/>
      <c r="CZ18" s="81">
        <v>2</v>
      </c>
      <c r="DB18" s="86"/>
    </row>
    <row r="19" spans="2:106" x14ac:dyDescent="0.25">
      <c r="B19" s="73"/>
      <c r="C19" s="73"/>
      <c r="D19" s="73"/>
      <c r="E19" s="73"/>
      <c r="F19" s="73"/>
      <c r="I19" s="73" t="s">
        <v>233</v>
      </c>
      <c r="J19" s="73" t="s">
        <v>23</v>
      </c>
      <c r="K19" s="77">
        <v>1</v>
      </c>
      <c r="S19" s="73" t="s">
        <v>233</v>
      </c>
      <c r="T19" s="73" t="s">
        <v>23</v>
      </c>
      <c r="U19" s="77"/>
      <c r="V19" s="77">
        <v>1</v>
      </c>
      <c r="AC19" s="73"/>
      <c r="AD19" s="73"/>
      <c r="AE19" s="73"/>
      <c r="AF19" s="73"/>
      <c r="AG19" s="73"/>
      <c r="AH19" s="73"/>
      <c r="AI19" s="68"/>
      <c r="AJ19" s="73"/>
      <c r="AK19" s="73"/>
      <c r="AL19" s="73"/>
      <c r="AM19" s="73"/>
      <c r="AN19" s="73"/>
      <c r="AO19" s="73"/>
      <c r="AP19" s="73"/>
      <c r="AQ19" s="73"/>
      <c r="AR19" s="73"/>
      <c r="AS19" s="73"/>
      <c r="BK19" s="73"/>
      <c r="BL19" s="73"/>
      <c r="BM19" s="73"/>
      <c r="BN19" s="73"/>
      <c r="BO19" s="73"/>
      <c r="CM19" s="82" t="s">
        <v>233</v>
      </c>
      <c r="CN19" s="81">
        <v>1</v>
      </c>
      <c r="CO19" s="81"/>
      <c r="CP19" s="81"/>
      <c r="CQ19" s="81"/>
      <c r="CR19" s="81"/>
      <c r="CS19" s="81"/>
      <c r="CT19" s="81"/>
      <c r="CU19" s="81"/>
      <c r="CV19" s="81"/>
      <c r="CW19" s="81"/>
      <c r="CX19" s="81"/>
      <c r="CY19" s="81"/>
      <c r="CZ19" s="81">
        <v>1</v>
      </c>
      <c r="DB19" s="86"/>
    </row>
    <row r="20" spans="2:106" x14ac:dyDescent="0.25">
      <c r="B20" s="73"/>
      <c r="C20" s="73"/>
      <c r="D20" s="73"/>
      <c r="E20" s="73"/>
      <c r="F20" s="73"/>
      <c r="I20" s="73"/>
      <c r="J20" s="73" t="s">
        <v>25</v>
      </c>
      <c r="K20" s="77">
        <v>1</v>
      </c>
      <c r="S20" s="73"/>
      <c r="T20" s="73" t="s">
        <v>25</v>
      </c>
      <c r="U20" s="77">
        <v>1265</v>
      </c>
      <c r="V20" s="77">
        <v>1</v>
      </c>
      <c r="AC20" s="73"/>
      <c r="AD20" s="73"/>
      <c r="AE20" s="73"/>
      <c r="AF20" s="73"/>
      <c r="AG20" s="73"/>
      <c r="AH20" s="73"/>
      <c r="AI20" s="68"/>
      <c r="AJ20" s="73"/>
      <c r="AK20" s="73"/>
      <c r="AL20" s="73"/>
      <c r="AM20" s="73"/>
      <c r="AN20" s="73"/>
      <c r="AO20" s="73"/>
      <c r="AP20" s="73"/>
      <c r="AQ20" s="73"/>
      <c r="AR20" s="73"/>
      <c r="AS20" s="73"/>
      <c r="CM20" s="84" t="s">
        <v>299</v>
      </c>
      <c r="CN20" s="81">
        <v>1</v>
      </c>
      <c r="CO20" s="81"/>
      <c r="CP20" s="81"/>
      <c r="CQ20" s="81"/>
      <c r="CR20" s="81"/>
      <c r="CS20" s="81"/>
      <c r="CT20" s="81"/>
      <c r="CU20" s="81"/>
      <c r="CV20" s="81"/>
      <c r="CW20" s="81"/>
      <c r="CX20" s="81"/>
      <c r="CY20" s="81"/>
      <c r="CZ20" s="81">
        <v>1</v>
      </c>
      <c r="DB20" s="86"/>
    </row>
    <row r="21" spans="2:106" x14ac:dyDescent="0.25">
      <c r="B21" s="73"/>
      <c r="C21" s="73"/>
      <c r="D21" s="73"/>
      <c r="E21" s="73"/>
      <c r="F21" s="73"/>
      <c r="I21" s="73"/>
      <c r="J21" s="73" t="s">
        <v>241</v>
      </c>
      <c r="K21" s="77">
        <v>1</v>
      </c>
      <c r="S21" s="73"/>
      <c r="T21" s="73" t="s">
        <v>241</v>
      </c>
      <c r="U21" s="77">
        <v>40.174789536000006</v>
      </c>
      <c r="V21" s="77">
        <v>1</v>
      </c>
      <c r="AC21" s="73"/>
      <c r="AD21" s="73"/>
      <c r="AE21" s="73"/>
      <c r="AF21" s="73"/>
      <c r="AG21" s="73"/>
      <c r="AH21" s="73"/>
      <c r="AI21" s="68"/>
      <c r="AJ21" s="73"/>
      <c r="AK21" s="73"/>
      <c r="AL21" s="73"/>
      <c r="AM21" s="73"/>
      <c r="AN21" s="73"/>
      <c r="AO21" s="73"/>
      <c r="AP21" s="73"/>
      <c r="AQ21" s="73"/>
      <c r="AR21" s="73"/>
      <c r="AS21" s="73"/>
      <c r="CM21" s="82" t="s">
        <v>257</v>
      </c>
      <c r="CN21" s="81"/>
      <c r="CO21" s="81">
        <v>1</v>
      </c>
      <c r="CP21" s="81"/>
      <c r="CQ21" s="81"/>
      <c r="CR21" s="81"/>
      <c r="CS21" s="81"/>
      <c r="CT21" s="81"/>
      <c r="CU21" s="81"/>
      <c r="CV21" s="81"/>
      <c r="CW21" s="81"/>
      <c r="CX21" s="81"/>
      <c r="CY21" s="81"/>
      <c r="CZ21" s="81">
        <v>1</v>
      </c>
      <c r="DB21" s="86"/>
    </row>
    <row r="22" spans="2:106" x14ac:dyDescent="0.25">
      <c r="B22" s="73"/>
      <c r="I22" s="73" t="s">
        <v>257</v>
      </c>
      <c r="J22" s="73" t="s">
        <v>25</v>
      </c>
      <c r="K22" s="77">
        <v>1</v>
      </c>
      <c r="S22" s="73" t="s">
        <v>257</v>
      </c>
      <c r="T22" s="73" t="s">
        <v>25</v>
      </c>
      <c r="U22" s="77">
        <v>0</v>
      </c>
      <c r="V22" s="77">
        <v>1</v>
      </c>
      <c r="AC22" s="73"/>
      <c r="AD22" s="73"/>
      <c r="AE22" s="73"/>
      <c r="AF22" s="73"/>
      <c r="AG22" s="73"/>
      <c r="AH22" s="73"/>
      <c r="AI22" s="68"/>
      <c r="AJ22" s="73"/>
      <c r="AK22" s="73"/>
      <c r="AL22" s="73"/>
      <c r="AM22" s="73"/>
      <c r="AN22" s="73"/>
      <c r="AO22" s="73"/>
      <c r="AP22" s="73"/>
      <c r="AQ22" s="73"/>
      <c r="AR22" s="73"/>
      <c r="AS22" s="73"/>
      <c r="CM22" s="84" t="s">
        <v>301</v>
      </c>
      <c r="CN22" s="81"/>
      <c r="CO22" s="81">
        <v>1</v>
      </c>
      <c r="CP22" s="81"/>
      <c r="CQ22" s="81"/>
      <c r="CR22" s="81"/>
      <c r="CS22" s="81"/>
      <c r="CT22" s="81"/>
      <c r="CU22" s="81"/>
      <c r="CV22" s="81"/>
      <c r="CW22" s="81"/>
      <c r="CX22" s="81"/>
      <c r="CY22" s="81"/>
      <c r="CZ22" s="81">
        <v>1</v>
      </c>
      <c r="DB22" s="86"/>
    </row>
    <row r="23" spans="2:106" x14ac:dyDescent="0.25">
      <c r="B23" s="73"/>
      <c r="I23" s="73"/>
      <c r="J23" s="73" t="s">
        <v>241</v>
      </c>
      <c r="K23" s="77">
        <v>1</v>
      </c>
      <c r="S23" s="73"/>
      <c r="T23" s="73" t="s">
        <v>241</v>
      </c>
      <c r="U23" s="77">
        <v>129.13325208000001</v>
      </c>
      <c r="V23" s="77">
        <v>1</v>
      </c>
      <c r="AC23" s="73"/>
      <c r="AD23" s="73"/>
      <c r="AE23" s="73"/>
      <c r="AF23" s="73"/>
      <c r="AG23" s="73"/>
      <c r="AH23" s="73"/>
      <c r="AI23" s="68"/>
      <c r="AJ23" s="73"/>
      <c r="AK23" s="73"/>
      <c r="AL23" s="73"/>
      <c r="AM23" s="73"/>
      <c r="AN23" s="73"/>
      <c r="AO23" s="73"/>
      <c r="AP23" s="73"/>
      <c r="AQ23" s="73"/>
      <c r="AR23" s="73"/>
      <c r="AS23" s="73"/>
      <c r="CM23" s="82" t="s">
        <v>297</v>
      </c>
      <c r="CN23" s="81"/>
      <c r="CO23" s="81"/>
      <c r="CP23" s="81"/>
      <c r="CQ23" s="81">
        <v>1</v>
      </c>
      <c r="CR23" s="81"/>
      <c r="CS23" s="81"/>
      <c r="CT23" s="81"/>
      <c r="CU23" s="81"/>
      <c r="CV23" s="81"/>
      <c r="CW23" s="81"/>
      <c r="CX23" s="81"/>
      <c r="CY23" s="81"/>
      <c r="CZ23" s="81">
        <v>1</v>
      </c>
      <c r="DB23" s="86"/>
    </row>
    <row r="24" spans="2:106" x14ac:dyDescent="0.25">
      <c r="B24" s="73"/>
      <c r="I24" s="73" t="s">
        <v>297</v>
      </c>
      <c r="J24" s="73" t="s">
        <v>241</v>
      </c>
      <c r="K24" s="77">
        <v>1</v>
      </c>
      <c r="S24" s="73" t="s">
        <v>297</v>
      </c>
      <c r="T24" s="73" t="s">
        <v>241</v>
      </c>
      <c r="U24" s="77"/>
      <c r="V24" s="77">
        <v>1</v>
      </c>
      <c r="AC24" s="73"/>
      <c r="AD24" s="73"/>
      <c r="AE24" s="73"/>
      <c r="AF24" s="73"/>
      <c r="AG24" s="73"/>
      <c r="AH24" s="73"/>
      <c r="AI24" s="68"/>
      <c r="AJ24" s="73"/>
      <c r="AK24" s="73"/>
      <c r="AL24" s="73"/>
      <c r="AM24" s="73"/>
      <c r="AN24" s="73"/>
      <c r="AO24" s="73"/>
      <c r="AP24" s="73"/>
      <c r="AQ24" s="73"/>
      <c r="AR24" s="73"/>
      <c r="AS24" s="73"/>
      <c r="CM24" s="84" t="s">
        <v>300</v>
      </c>
      <c r="CN24" s="81"/>
      <c r="CO24" s="81"/>
      <c r="CP24" s="81"/>
      <c r="CQ24" s="81">
        <v>1</v>
      </c>
      <c r="CR24" s="81"/>
      <c r="CS24" s="81"/>
      <c r="CT24" s="81"/>
      <c r="CU24" s="81"/>
      <c r="CV24" s="81"/>
      <c r="CW24" s="81"/>
      <c r="CX24" s="81"/>
      <c r="CY24" s="81"/>
      <c r="CZ24" s="81">
        <v>1</v>
      </c>
      <c r="DB24" s="86"/>
    </row>
    <row r="25" spans="2:106" x14ac:dyDescent="0.25">
      <c r="B25" s="73"/>
      <c r="I25" s="73" t="s">
        <v>259</v>
      </c>
      <c r="J25" s="73" t="s">
        <v>17</v>
      </c>
      <c r="K25" s="77">
        <v>15</v>
      </c>
      <c r="S25" s="73" t="s">
        <v>259</v>
      </c>
      <c r="T25" s="73" t="s">
        <v>17</v>
      </c>
      <c r="U25" s="77">
        <v>0</v>
      </c>
      <c r="V25" s="77">
        <v>15</v>
      </c>
      <c r="AC25" s="73"/>
      <c r="AD25" s="73"/>
      <c r="AE25" s="73"/>
      <c r="AF25" s="73"/>
      <c r="AG25" s="73"/>
      <c r="AH25" s="73"/>
      <c r="AI25" s="68"/>
      <c r="AJ25" s="73"/>
      <c r="AK25" s="73"/>
      <c r="AL25" s="73"/>
      <c r="AM25" s="73"/>
      <c r="AN25" s="73"/>
      <c r="AO25" s="73"/>
      <c r="AP25" s="73"/>
      <c r="AQ25" s="73"/>
      <c r="AR25" s="73"/>
      <c r="AS25" s="73"/>
      <c r="CM25" s="82" t="s">
        <v>259</v>
      </c>
      <c r="CN25" s="81"/>
      <c r="CO25" s="81"/>
      <c r="CP25" s="81">
        <v>2</v>
      </c>
      <c r="CQ25" s="81"/>
      <c r="CR25" s="81"/>
      <c r="CS25" s="81"/>
      <c r="CT25" s="81"/>
      <c r="CU25" s="81"/>
      <c r="CV25" s="81"/>
      <c r="CW25" s="81"/>
      <c r="CX25" s="81"/>
      <c r="CY25" s="81"/>
      <c r="CZ25" s="81">
        <v>2</v>
      </c>
      <c r="DB25" s="86"/>
    </row>
    <row r="26" spans="2:106" x14ac:dyDescent="0.25">
      <c r="B26" s="73"/>
      <c r="I26" s="73" t="s">
        <v>261</v>
      </c>
      <c r="J26" s="73" t="s">
        <v>22</v>
      </c>
      <c r="K26" s="77">
        <v>1</v>
      </c>
      <c r="S26" s="73" t="s">
        <v>261</v>
      </c>
      <c r="T26" s="73" t="s">
        <v>22</v>
      </c>
      <c r="U26" s="77">
        <v>2564.8700000000003</v>
      </c>
      <c r="V26" s="77">
        <v>1</v>
      </c>
      <c r="AC26" s="73"/>
      <c r="AD26" s="73"/>
      <c r="AE26" s="73"/>
      <c r="AF26" s="73"/>
      <c r="AG26" s="73"/>
      <c r="AH26" s="73"/>
      <c r="AI26" s="68"/>
      <c r="AJ26" s="73"/>
      <c r="AK26" s="73"/>
      <c r="AL26" s="73"/>
      <c r="AM26" s="73"/>
      <c r="AN26" s="73"/>
      <c r="AO26" s="73"/>
      <c r="AP26" s="73"/>
      <c r="AQ26" s="73"/>
      <c r="AR26" s="73"/>
      <c r="AS26" s="73"/>
      <c r="CM26" s="84" t="s">
        <v>298</v>
      </c>
      <c r="CN26" s="81"/>
      <c r="CO26" s="81"/>
      <c r="CP26" s="81">
        <v>1</v>
      </c>
      <c r="CQ26" s="81"/>
      <c r="CR26" s="81"/>
      <c r="CS26" s="81"/>
      <c r="CT26" s="81"/>
      <c r="CU26" s="81"/>
      <c r="CV26" s="81"/>
      <c r="CW26" s="81"/>
      <c r="CX26" s="81"/>
      <c r="CY26" s="81"/>
      <c r="CZ26" s="81">
        <v>1</v>
      </c>
      <c r="DB26" s="86"/>
    </row>
    <row r="27" spans="2:106" x14ac:dyDescent="0.25">
      <c r="B27" s="73"/>
      <c r="I27" s="73" t="s">
        <v>295</v>
      </c>
      <c r="J27" s="73"/>
      <c r="K27" s="77">
        <v>63</v>
      </c>
      <c r="S27" s="73" t="s">
        <v>295</v>
      </c>
      <c r="T27" s="73"/>
      <c r="U27" s="77">
        <v>6633.6108266160008</v>
      </c>
      <c r="V27" s="77">
        <v>63</v>
      </c>
      <c r="AC27" s="73"/>
      <c r="AD27" s="73"/>
      <c r="AE27" s="73"/>
      <c r="AF27" s="73"/>
      <c r="AG27" s="73"/>
      <c r="AH27" s="73"/>
      <c r="AI27" s="68"/>
      <c r="AJ27" s="73"/>
      <c r="AK27" s="73"/>
      <c r="AL27" s="73"/>
      <c r="AM27" s="73"/>
      <c r="AN27" s="73"/>
      <c r="AO27" s="73"/>
      <c r="AP27" s="73"/>
      <c r="AQ27" s="73"/>
      <c r="AR27" s="73"/>
      <c r="AS27" s="73"/>
      <c r="CM27" s="84" t="s">
        <v>302</v>
      </c>
      <c r="CN27" s="81"/>
      <c r="CO27" s="81"/>
      <c r="CP27" s="81">
        <v>1</v>
      </c>
      <c r="CQ27" s="81"/>
      <c r="CR27" s="81"/>
      <c r="CS27" s="81"/>
      <c r="CT27" s="81"/>
      <c r="CU27" s="81"/>
      <c r="CV27" s="81"/>
      <c r="CW27" s="81"/>
      <c r="CX27" s="81"/>
      <c r="CY27" s="81"/>
      <c r="CZ27" s="81">
        <v>1</v>
      </c>
    </row>
    <row r="28" spans="2:106" x14ac:dyDescent="0.25">
      <c r="B28" s="73"/>
      <c r="AC28" s="73"/>
      <c r="AD28" s="73"/>
      <c r="AE28" s="73"/>
      <c r="AF28" s="73"/>
      <c r="AG28" s="73"/>
      <c r="AH28" s="73"/>
      <c r="AI28" s="68"/>
      <c r="AJ28" s="73"/>
      <c r="AK28" s="73"/>
      <c r="AL28" s="73"/>
      <c r="AM28" s="73"/>
      <c r="AN28" s="73"/>
      <c r="AO28" s="73"/>
      <c r="AP28" s="73"/>
      <c r="AQ28" s="73"/>
      <c r="AR28" s="73"/>
      <c r="AS28" s="73"/>
      <c r="CM28" s="80" t="s">
        <v>295</v>
      </c>
      <c r="CN28" s="81">
        <v>9</v>
      </c>
      <c r="CO28" s="81">
        <v>2</v>
      </c>
      <c r="CP28" s="81">
        <v>27</v>
      </c>
      <c r="CQ28" s="81">
        <v>6</v>
      </c>
      <c r="CR28" s="81">
        <v>1</v>
      </c>
      <c r="CS28" s="81">
        <v>2</v>
      </c>
      <c r="CT28" s="81">
        <v>2</v>
      </c>
      <c r="CU28" s="81">
        <v>8</v>
      </c>
      <c r="CV28" s="81">
        <v>2</v>
      </c>
      <c r="CW28" s="81">
        <v>1</v>
      </c>
      <c r="CX28" s="81">
        <v>1</v>
      </c>
      <c r="CY28" s="81">
        <v>2</v>
      </c>
      <c r="CZ28" s="81">
        <v>63</v>
      </c>
    </row>
    <row r="29" spans="2:106" x14ac:dyDescent="0.25">
      <c r="B29" s="73"/>
      <c r="AC29" s="73"/>
      <c r="AD29" s="73"/>
      <c r="AE29" s="73"/>
      <c r="AF29" s="73"/>
      <c r="AG29" s="73"/>
      <c r="AH29" s="73"/>
      <c r="AI29" s="68"/>
      <c r="AJ29" s="73"/>
      <c r="AK29" s="73"/>
      <c r="AL29" s="73"/>
      <c r="AM29" s="73"/>
      <c r="AN29" s="73"/>
      <c r="AO29" s="73"/>
      <c r="AP29" s="73"/>
      <c r="AQ29" s="73"/>
      <c r="AR29" s="73"/>
      <c r="AS29" s="73"/>
      <c r="CM29" s="73"/>
      <c r="CN29" s="73"/>
      <c r="CO29" s="73"/>
      <c r="CP29" s="73"/>
      <c r="CQ29" s="73"/>
      <c r="CR29" s="73"/>
      <c r="CS29" s="73"/>
      <c r="CT29" s="73"/>
      <c r="CU29" s="73"/>
      <c r="CV29" s="73"/>
      <c r="CW29" s="73"/>
      <c r="CX29" s="73"/>
      <c r="CY29" s="73"/>
      <c r="CZ29" s="73"/>
    </row>
    <row r="30" spans="2:106" x14ac:dyDescent="0.25">
      <c r="B30" s="73"/>
      <c r="AC30" s="73"/>
      <c r="AD30" s="73"/>
      <c r="AE30" s="73"/>
      <c r="AF30" s="73"/>
      <c r="AG30" s="73"/>
      <c r="AH30" s="73"/>
      <c r="AI30" s="68"/>
      <c r="AJ30" s="73"/>
      <c r="AK30" s="73"/>
      <c r="AL30" s="73"/>
      <c r="AM30" s="73"/>
      <c r="AN30" s="73"/>
      <c r="AO30" s="73"/>
      <c r="AP30" s="73"/>
      <c r="AQ30" s="73"/>
      <c r="AR30" s="73"/>
      <c r="AS30" s="73"/>
      <c r="CM30" s="73"/>
      <c r="CN30" s="73"/>
      <c r="CO30" s="73"/>
      <c r="CP30" s="73"/>
      <c r="CQ30" s="73"/>
      <c r="CR30" s="73"/>
      <c r="CS30" s="73"/>
      <c r="CT30" s="73"/>
      <c r="CU30" s="73"/>
      <c r="CV30" s="73"/>
      <c r="CW30" s="73"/>
      <c r="CX30" s="73"/>
      <c r="CY30" s="73"/>
      <c r="CZ30" s="73"/>
    </row>
    <row r="31" spans="2:106" x14ac:dyDescent="0.25">
      <c r="B31" s="73"/>
      <c r="AC31" s="73"/>
      <c r="AD31" s="73"/>
      <c r="AE31" s="73"/>
      <c r="AF31" s="73"/>
      <c r="AG31" s="73"/>
      <c r="AH31" s="73"/>
      <c r="AI31" s="68"/>
      <c r="AJ31" s="73"/>
      <c r="AK31" s="73"/>
      <c r="AL31" s="73"/>
      <c r="AM31" s="73"/>
      <c r="AN31" s="73"/>
      <c r="AO31" s="73"/>
      <c r="AP31" s="73"/>
      <c r="AQ31" s="73"/>
      <c r="AR31" s="73"/>
      <c r="AS31" s="73"/>
      <c r="CM31" s="73"/>
      <c r="CN31" s="73"/>
      <c r="CO31" s="73"/>
      <c r="CP31" s="73"/>
      <c r="CQ31" s="73"/>
      <c r="CR31" s="73"/>
      <c r="CS31" s="73"/>
      <c r="CT31" s="73"/>
      <c r="CU31" s="73"/>
      <c r="CV31" s="73"/>
      <c r="CW31" s="73"/>
      <c r="CX31" s="73"/>
      <c r="CY31" s="73"/>
      <c r="CZ31" s="73"/>
    </row>
    <row r="32" spans="2:106" x14ac:dyDescent="0.25">
      <c r="B32" s="73"/>
      <c r="AC32" s="73"/>
      <c r="AD32" s="73"/>
      <c r="AE32" s="73"/>
      <c r="AF32" s="73"/>
      <c r="AG32" s="73"/>
      <c r="AH32" s="73"/>
      <c r="AI32" s="68"/>
      <c r="AJ32" s="73"/>
      <c r="AK32" s="73"/>
      <c r="AL32" s="73"/>
      <c r="AM32" s="73"/>
      <c r="AN32" s="73"/>
      <c r="AO32" s="73"/>
      <c r="AP32" s="73"/>
      <c r="AQ32" s="73"/>
      <c r="AR32" s="73"/>
      <c r="AS32" s="73"/>
      <c r="CM32" s="73"/>
      <c r="CN32" s="73"/>
      <c r="CO32" s="73"/>
      <c r="CP32" s="73"/>
      <c r="CQ32" s="73"/>
      <c r="CR32" s="73"/>
      <c r="CS32" s="73"/>
      <c r="CT32" s="73"/>
      <c r="CU32" s="73"/>
      <c r="CV32" s="73"/>
      <c r="CW32" s="73"/>
      <c r="CX32" s="73"/>
      <c r="CY32" s="73"/>
      <c r="CZ32" s="73"/>
    </row>
    <row r="33" spans="2:104" x14ac:dyDescent="0.25">
      <c r="B33" s="73"/>
      <c r="AC33" s="73"/>
      <c r="AD33" s="73"/>
      <c r="AE33" s="73"/>
      <c r="AF33" s="73"/>
      <c r="AG33" s="73"/>
      <c r="AH33" s="73"/>
      <c r="AI33" s="68"/>
      <c r="AJ33" s="73"/>
      <c r="AK33" s="73"/>
      <c r="AL33" s="73"/>
      <c r="AM33" s="73"/>
      <c r="AN33" s="73"/>
      <c r="AO33" s="73"/>
      <c r="AP33" s="73"/>
      <c r="AQ33" s="73"/>
      <c r="AR33" s="73"/>
      <c r="AS33" s="73"/>
      <c r="CM33" s="73"/>
      <c r="CN33" s="73"/>
      <c r="CO33" s="73"/>
      <c r="CP33" s="73"/>
      <c r="CQ33" s="73"/>
      <c r="CR33" s="73"/>
      <c r="CS33" s="73"/>
      <c r="CT33" s="73"/>
      <c r="CU33" s="73"/>
      <c r="CV33" s="73"/>
      <c r="CW33" s="73"/>
      <c r="CX33" s="73"/>
      <c r="CY33" s="73"/>
      <c r="CZ33" s="73"/>
    </row>
    <row r="34" spans="2:104" x14ac:dyDescent="0.25">
      <c r="B34" s="73"/>
      <c r="AC34" s="73"/>
      <c r="AD34" s="73"/>
      <c r="AE34" s="73"/>
      <c r="AF34" s="73"/>
      <c r="AG34" s="73"/>
      <c r="AH34" s="73"/>
      <c r="AI34" s="68"/>
      <c r="AJ34" s="73"/>
      <c r="AK34" s="73"/>
      <c r="AL34" s="73"/>
      <c r="AM34" s="73"/>
      <c r="AN34" s="73"/>
      <c r="AO34" s="73"/>
      <c r="AP34" s="73"/>
      <c r="AQ34" s="73"/>
      <c r="AR34" s="73"/>
      <c r="AS34" s="73"/>
      <c r="CM34" s="73"/>
      <c r="CN34" s="73"/>
      <c r="CO34" s="73"/>
      <c r="CP34" s="73"/>
      <c r="CQ34" s="73"/>
      <c r="CR34" s="73"/>
      <c r="CS34" s="73"/>
      <c r="CT34" s="73"/>
      <c r="CU34" s="73"/>
      <c r="CV34" s="73"/>
      <c r="CW34" s="73"/>
      <c r="CX34" s="73"/>
    </row>
    <row r="35" spans="2:104" x14ac:dyDescent="0.25">
      <c r="B35" s="73"/>
      <c r="AC35" s="73"/>
      <c r="AD35" s="73"/>
      <c r="AE35" s="73"/>
      <c r="AF35" s="73"/>
      <c r="AG35" s="73"/>
      <c r="AH35" s="73"/>
      <c r="AI35" s="68"/>
      <c r="AJ35" s="73"/>
      <c r="AK35" s="73"/>
      <c r="AL35" s="73"/>
      <c r="AM35" s="73"/>
      <c r="AN35" s="73"/>
      <c r="AO35" s="73"/>
      <c r="AP35" s="73"/>
      <c r="AQ35" s="73"/>
      <c r="AR35" s="73"/>
      <c r="AS35" s="73"/>
      <c r="CM35" s="73"/>
      <c r="CN35" s="73"/>
      <c r="CO35" s="73"/>
      <c r="CP35" s="73"/>
      <c r="CQ35" s="73"/>
      <c r="CR35" s="73"/>
      <c r="CS35" s="73"/>
      <c r="CT35" s="73"/>
      <c r="CU35" s="73"/>
      <c r="CV35" s="73"/>
      <c r="CW35" s="73"/>
      <c r="CX35" s="73"/>
    </row>
    <row r="36" spans="2:104" x14ac:dyDescent="0.25">
      <c r="B36" s="73"/>
      <c r="AC36" s="73"/>
      <c r="AD36" s="73"/>
      <c r="AE36" s="73"/>
      <c r="AF36" s="73"/>
      <c r="AG36" s="73"/>
      <c r="AH36" s="73"/>
      <c r="AI36" s="68"/>
      <c r="AJ36" s="73"/>
      <c r="AK36" s="73"/>
      <c r="AL36" s="73"/>
      <c r="AM36" s="73"/>
      <c r="AN36" s="73"/>
      <c r="AO36" s="73"/>
      <c r="AP36" s="73"/>
      <c r="AQ36" s="73"/>
      <c r="AR36" s="73"/>
      <c r="AS36" s="73"/>
      <c r="CM36" s="73"/>
      <c r="CN36" s="73"/>
      <c r="CO36" s="73"/>
      <c r="CP36" s="73"/>
      <c r="CQ36" s="73"/>
      <c r="CR36" s="73"/>
      <c r="CS36" s="73"/>
      <c r="CT36" s="73"/>
      <c r="CU36" s="73"/>
      <c r="CV36" s="73"/>
      <c r="CW36" s="73"/>
      <c r="CX36" s="73"/>
    </row>
    <row r="37" spans="2:104" x14ac:dyDescent="0.25">
      <c r="B37" s="73"/>
      <c r="AC37" s="73"/>
      <c r="AD37" s="73"/>
      <c r="AE37" s="73"/>
      <c r="AF37" s="73"/>
      <c r="AG37" s="73"/>
      <c r="AH37" s="73"/>
      <c r="AI37" s="68"/>
      <c r="AJ37" s="73"/>
      <c r="AK37" s="73"/>
      <c r="AL37" s="73"/>
      <c r="AM37" s="73"/>
      <c r="AN37" s="73"/>
      <c r="AO37" s="73"/>
      <c r="AP37" s="73"/>
      <c r="AQ37" s="73"/>
      <c r="AR37" s="73"/>
      <c r="AS37" s="73"/>
      <c r="CM37" s="73"/>
      <c r="CN37" s="73"/>
      <c r="CO37" s="73"/>
      <c r="CP37" s="73"/>
      <c r="CQ37" s="73"/>
      <c r="CR37" s="73"/>
      <c r="CS37" s="73"/>
      <c r="CT37" s="73"/>
      <c r="CU37" s="73"/>
      <c r="CV37" s="73"/>
      <c r="CW37" s="73"/>
      <c r="CX37" s="73"/>
    </row>
    <row r="38" spans="2:104" x14ac:dyDescent="0.25">
      <c r="B38" s="73"/>
      <c r="AC38" s="73"/>
      <c r="AD38" s="73"/>
      <c r="AE38" s="73"/>
      <c r="AF38" s="73"/>
      <c r="AG38" s="73"/>
      <c r="AH38" s="73"/>
      <c r="AI38" s="68"/>
      <c r="AJ38" s="73"/>
      <c r="AK38" s="73"/>
      <c r="AL38" s="73"/>
      <c r="AM38" s="73"/>
      <c r="AN38" s="73"/>
      <c r="AO38" s="73"/>
      <c r="AP38" s="73"/>
      <c r="AQ38" s="73"/>
      <c r="AR38" s="73"/>
      <c r="AS38" s="73"/>
      <c r="CM38" s="73"/>
      <c r="CN38" s="73"/>
      <c r="CO38" s="73"/>
      <c r="CP38" s="73"/>
      <c r="CQ38" s="73"/>
      <c r="CR38" s="73"/>
      <c r="CS38" s="73"/>
      <c r="CT38" s="73"/>
      <c r="CU38" s="73"/>
      <c r="CV38" s="73"/>
      <c r="CW38" s="73"/>
      <c r="CX38" s="73"/>
    </row>
    <row r="39" spans="2:104" x14ac:dyDescent="0.25">
      <c r="B39" s="73"/>
      <c r="AC39" s="73"/>
      <c r="AD39" s="73"/>
      <c r="AE39" s="73"/>
      <c r="AF39" s="73"/>
      <c r="AG39" s="73"/>
      <c r="AH39" s="73"/>
      <c r="AI39" s="68"/>
      <c r="AJ39" s="73"/>
      <c r="AK39" s="73"/>
      <c r="AL39" s="73"/>
      <c r="AM39" s="73"/>
      <c r="AN39" s="73"/>
      <c r="AO39" s="73"/>
      <c r="AP39" s="73"/>
      <c r="AQ39" s="73"/>
      <c r="AR39" s="73"/>
      <c r="AS39" s="73"/>
      <c r="CM39" s="73"/>
      <c r="CN39" s="73"/>
      <c r="CO39" s="73"/>
      <c r="CP39" s="73"/>
      <c r="CQ39" s="73"/>
      <c r="CR39" s="73"/>
      <c r="CS39" s="73"/>
      <c r="CT39" s="73"/>
      <c r="CU39" s="73"/>
      <c r="CV39" s="73"/>
      <c r="CW39" s="73"/>
      <c r="CX39" s="73"/>
    </row>
    <row r="40" spans="2:104" x14ac:dyDescent="0.25">
      <c r="B40" s="73"/>
      <c r="AC40" s="73"/>
      <c r="AD40" s="73"/>
      <c r="AE40" s="73"/>
      <c r="AF40" s="73"/>
      <c r="AG40" s="73"/>
      <c r="AH40" s="73"/>
      <c r="AI40" s="68"/>
      <c r="AJ40" s="73"/>
      <c r="AK40" s="73"/>
      <c r="AL40" s="73"/>
      <c r="AM40" s="73"/>
      <c r="AN40" s="73"/>
      <c r="AO40" s="73"/>
      <c r="AP40" s="73"/>
      <c r="AQ40" s="73"/>
      <c r="AR40" s="73"/>
      <c r="AS40" s="73"/>
    </row>
    <row r="41" spans="2:104" x14ac:dyDescent="0.25">
      <c r="B41" s="73"/>
      <c r="AC41" s="73"/>
      <c r="AD41" s="73"/>
      <c r="AE41" s="73"/>
      <c r="AF41" s="73"/>
      <c r="AG41" s="73"/>
      <c r="AH41" s="73"/>
      <c r="AI41" s="68"/>
      <c r="AJ41" s="73"/>
      <c r="AK41" s="73"/>
      <c r="AL41" s="73"/>
      <c r="AM41" s="73"/>
      <c r="AN41" s="73"/>
      <c r="AO41" s="73"/>
      <c r="AP41" s="73"/>
      <c r="AQ41" s="73"/>
      <c r="AR41" s="73"/>
      <c r="AS41" s="73"/>
    </row>
    <row r="42" spans="2:104" x14ac:dyDescent="0.25">
      <c r="B42" s="73"/>
      <c r="AC42" s="73"/>
      <c r="AD42" s="73"/>
      <c r="AE42" s="73"/>
      <c r="AF42" s="73"/>
      <c r="AG42" s="73"/>
      <c r="AH42" s="73"/>
      <c r="AI42" s="68"/>
      <c r="AJ42" s="73"/>
      <c r="AK42" s="73"/>
      <c r="AL42" s="73"/>
      <c r="AM42" s="73"/>
      <c r="AN42" s="73"/>
      <c r="AO42" s="73"/>
      <c r="AP42" s="73"/>
      <c r="AQ42" s="73"/>
      <c r="AR42" s="73"/>
      <c r="AS42" s="73"/>
    </row>
    <row r="43" spans="2:104" x14ac:dyDescent="0.25">
      <c r="B43" s="73"/>
      <c r="AC43" s="73"/>
      <c r="AD43" s="73"/>
      <c r="AE43" s="73"/>
      <c r="AF43" s="73"/>
      <c r="AG43" s="73"/>
      <c r="AH43" s="73"/>
      <c r="AI43" s="68"/>
      <c r="AJ43" s="73"/>
      <c r="AK43" s="73"/>
      <c r="AL43" s="73"/>
      <c r="AM43" s="73"/>
      <c r="AN43" s="73"/>
      <c r="AO43" s="73"/>
      <c r="AP43" s="73"/>
      <c r="AQ43" s="73"/>
      <c r="AR43" s="73"/>
      <c r="AS43" s="73"/>
    </row>
    <row r="44" spans="2:104" x14ac:dyDescent="0.25">
      <c r="B44" s="73"/>
      <c r="AC44" s="73"/>
      <c r="AD44" s="73"/>
      <c r="AE44" s="73"/>
      <c r="AF44" s="73"/>
      <c r="AG44" s="73"/>
      <c r="AH44" s="73"/>
      <c r="AI44" s="68"/>
      <c r="AJ44" s="73"/>
      <c r="AK44" s="73"/>
      <c r="AL44" s="73"/>
      <c r="AM44" s="73"/>
      <c r="AN44" s="73"/>
      <c r="AO44" s="73"/>
      <c r="AP44" s="73"/>
      <c r="AQ44" s="73"/>
      <c r="AR44" s="73"/>
      <c r="AS44" s="73"/>
    </row>
    <row r="45" spans="2:104" x14ac:dyDescent="0.25">
      <c r="B45" s="73"/>
      <c r="AC45" s="73"/>
      <c r="AD45" s="73"/>
      <c r="AE45" s="73"/>
      <c r="AF45" s="73"/>
      <c r="AG45" s="73"/>
      <c r="AH45" s="73"/>
      <c r="AI45" s="68"/>
      <c r="AJ45" s="73"/>
      <c r="AK45" s="73"/>
      <c r="AL45" s="73"/>
      <c r="AM45" s="73"/>
      <c r="AN45" s="73"/>
      <c r="AO45" s="73"/>
      <c r="AP45" s="73"/>
      <c r="AQ45" s="73"/>
      <c r="AR45" s="73"/>
      <c r="AS45" s="73"/>
    </row>
    <row r="46" spans="2:104" x14ac:dyDescent="0.25">
      <c r="B46" s="73"/>
      <c r="AC46" s="73"/>
      <c r="AD46" s="73"/>
      <c r="AE46" s="73"/>
      <c r="AF46" s="73"/>
      <c r="AG46" s="73"/>
      <c r="AH46" s="73"/>
      <c r="AI46" s="68"/>
      <c r="AJ46" s="73"/>
      <c r="AK46" s="73"/>
      <c r="AL46" s="73"/>
      <c r="AM46" s="73"/>
      <c r="AN46" s="73"/>
      <c r="AO46" s="73"/>
      <c r="AP46" s="73"/>
      <c r="AQ46" s="73"/>
      <c r="AR46" s="73"/>
      <c r="AS46" s="73"/>
    </row>
    <row r="47" spans="2:104" x14ac:dyDescent="0.25">
      <c r="B47" s="73"/>
      <c r="AC47" s="73"/>
      <c r="AD47" s="73"/>
      <c r="AE47" s="73"/>
      <c r="AF47" s="73"/>
      <c r="AG47" s="73"/>
      <c r="AH47" s="73"/>
      <c r="AI47" s="68"/>
      <c r="AJ47" s="73"/>
      <c r="AK47" s="73"/>
      <c r="AL47" s="73"/>
      <c r="AM47" s="73"/>
      <c r="AN47" s="73"/>
      <c r="AO47" s="73"/>
      <c r="AP47" s="73"/>
      <c r="AQ47" s="73"/>
      <c r="AR47" s="73"/>
      <c r="AS47" s="73"/>
    </row>
    <row r="48" spans="2:104" x14ac:dyDescent="0.25">
      <c r="B48" s="73"/>
      <c r="AC48" s="73"/>
      <c r="AD48" s="73"/>
      <c r="AE48" s="73"/>
      <c r="AF48" s="73"/>
      <c r="AG48" s="73"/>
      <c r="AH48" s="73"/>
      <c r="AI48" s="68"/>
      <c r="AJ48" s="73"/>
      <c r="AK48" s="73"/>
      <c r="AL48" s="73"/>
      <c r="AM48" s="73"/>
      <c r="AN48" s="73"/>
      <c r="AO48" s="73"/>
      <c r="AP48" s="73"/>
      <c r="AQ48" s="73"/>
      <c r="AR48" s="73"/>
      <c r="AS48" s="73"/>
    </row>
    <row r="49" spans="2:45" x14ac:dyDescent="0.25">
      <c r="B49" s="73"/>
      <c r="AC49" s="73"/>
      <c r="AD49" s="73"/>
      <c r="AE49" s="73"/>
      <c r="AF49" s="73"/>
      <c r="AG49" s="73"/>
      <c r="AH49" s="73"/>
      <c r="AI49" s="68"/>
      <c r="AJ49" s="73"/>
      <c r="AK49" s="73"/>
      <c r="AL49" s="73"/>
      <c r="AM49" s="73"/>
      <c r="AN49" s="73"/>
      <c r="AO49" s="73"/>
      <c r="AP49" s="73"/>
      <c r="AQ49" s="73"/>
      <c r="AR49" s="73"/>
      <c r="AS49" s="73"/>
    </row>
    <row r="50" spans="2:45" x14ac:dyDescent="0.25">
      <c r="B50" s="73"/>
      <c r="AC50" s="73"/>
      <c r="AD50" s="73"/>
      <c r="AE50" s="73"/>
      <c r="AF50" s="73"/>
      <c r="AG50" s="73"/>
      <c r="AH50" s="73"/>
      <c r="AI50" s="68"/>
      <c r="AJ50" s="73"/>
      <c r="AK50" s="73"/>
      <c r="AL50" s="73"/>
      <c r="AM50" s="73"/>
      <c r="AN50" s="73"/>
      <c r="AO50" s="73"/>
      <c r="AP50" s="73"/>
      <c r="AQ50" s="73"/>
      <c r="AR50" s="73"/>
      <c r="AS50" s="73"/>
    </row>
    <row r="51" spans="2:45" x14ac:dyDescent="0.25">
      <c r="B51" s="73"/>
      <c r="AC51" s="73"/>
      <c r="AD51" s="73"/>
      <c r="AE51" s="73"/>
      <c r="AF51" s="73"/>
      <c r="AG51" s="73"/>
      <c r="AH51" s="73"/>
      <c r="AI51" s="68"/>
      <c r="AJ51" s="73"/>
      <c r="AK51" s="73"/>
      <c r="AL51" s="73"/>
      <c r="AM51" s="73"/>
      <c r="AN51" s="73"/>
      <c r="AO51" s="73"/>
      <c r="AP51" s="73"/>
      <c r="AQ51" s="73"/>
      <c r="AR51" s="73"/>
      <c r="AS51" s="73"/>
    </row>
    <row r="52" spans="2:45" x14ac:dyDescent="0.25">
      <c r="B52" s="73"/>
      <c r="AC52" s="73"/>
      <c r="AD52" s="73"/>
      <c r="AE52" s="73"/>
      <c r="AF52" s="73"/>
      <c r="AG52" s="73"/>
      <c r="AH52" s="73"/>
      <c r="AI52" s="68"/>
      <c r="AJ52" s="73"/>
      <c r="AK52" s="73"/>
      <c r="AL52" s="73"/>
      <c r="AM52" s="73"/>
      <c r="AN52" s="73"/>
      <c r="AO52" s="73"/>
      <c r="AP52" s="73"/>
      <c r="AQ52" s="73"/>
      <c r="AR52" s="73"/>
      <c r="AS52" s="73"/>
    </row>
    <row r="53" spans="2:45" x14ac:dyDescent="0.25">
      <c r="B53" s="73"/>
      <c r="AC53" s="73"/>
      <c r="AD53" s="73"/>
      <c r="AE53" s="73"/>
      <c r="AF53" s="73"/>
      <c r="AG53" s="73"/>
      <c r="AH53" s="73"/>
      <c r="AI53" s="68"/>
      <c r="AJ53" s="73"/>
      <c r="AK53" s="73"/>
      <c r="AL53" s="73"/>
      <c r="AM53" s="73"/>
      <c r="AN53" s="73"/>
      <c r="AO53" s="73"/>
      <c r="AP53" s="73"/>
      <c r="AQ53" s="73"/>
      <c r="AR53" s="73"/>
      <c r="AS53" s="73"/>
    </row>
    <row r="54" spans="2:45" x14ac:dyDescent="0.25">
      <c r="B54" s="73"/>
      <c r="AC54" s="73"/>
      <c r="AD54" s="73"/>
      <c r="AE54" s="73"/>
      <c r="AF54" s="73"/>
      <c r="AG54" s="73"/>
      <c r="AH54" s="73"/>
      <c r="AI54" s="68"/>
      <c r="AJ54" s="73"/>
      <c r="AK54" s="73"/>
      <c r="AL54" s="73"/>
      <c r="AM54" s="73"/>
      <c r="AN54" s="73"/>
      <c r="AO54" s="73"/>
      <c r="AP54" s="73"/>
      <c r="AQ54" s="73"/>
      <c r="AR54" s="73"/>
      <c r="AS54" s="73"/>
    </row>
    <row r="55" spans="2:45" x14ac:dyDescent="0.25">
      <c r="B55" s="73"/>
      <c r="AC55" s="73"/>
      <c r="AD55" s="73"/>
      <c r="AE55" s="73"/>
      <c r="AF55" s="73"/>
      <c r="AG55" s="73"/>
      <c r="AH55" s="73"/>
      <c r="AI55" s="68"/>
      <c r="AJ55" s="73"/>
      <c r="AK55" s="73"/>
      <c r="AL55" s="73"/>
      <c r="AM55" s="73"/>
      <c r="AN55" s="73"/>
      <c r="AO55" s="73"/>
      <c r="AP55" s="73"/>
      <c r="AQ55" s="73"/>
      <c r="AR55" s="73"/>
      <c r="AS55" s="73"/>
    </row>
    <row r="56" spans="2:45" x14ac:dyDescent="0.25">
      <c r="B56" s="73"/>
      <c r="AC56" s="73"/>
      <c r="AD56" s="73"/>
      <c r="AE56" s="73"/>
      <c r="AF56" s="73"/>
      <c r="AG56" s="73"/>
      <c r="AH56" s="73"/>
      <c r="AI56" s="68"/>
      <c r="AJ56" s="73"/>
      <c r="AK56" s="73"/>
      <c r="AL56" s="73"/>
      <c r="AM56" s="73"/>
      <c r="AN56" s="73"/>
      <c r="AO56" s="73"/>
      <c r="AP56" s="73"/>
      <c r="AQ56" s="73"/>
      <c r="AR56" s="73"/>
      <c r="AS56" s="73"/>
    </row>
    <row r="57" spans="2:45" x14ac:dyDescent="0.25">
      <c r="B57" s="73"/>
      <c r="AC57" s="73"/>
      <c r="AD57" s="73"/>
      <c r="AE57" s="73"/>
      <c r="AF57" s="73"/>
      <c r="AG57" s="73"/>
      <c r="AH57" s="73"/>
      <c r="AI57" s="68"/>
      <c r="AJ57" s="73"/>
      <c r="AK57" s="73"/>
      <c r="AL57" s="73"/>
      <c r="AM57" s="73"/>
      <c r="AN57" s="73"/>
      <c r="AO57" s="73"/>
      <c r="AP57" s="73"/>
      <c r="AQ57" s="73"/>
      <c r="AR57" s="73"/>
      <c r="AS57" s="73"/>
    </row>
    <row r="58" spans="2:45" x14ac:dyDescent="0.25">
      <c r="B58" s="73"/>
      <c r="AC58" s="73"/>
      <c r="AD58" s="73"/>
      <c r="AE58" s="73"/>
      <c r="AF58" s="73"/>
      <c r="AG58" s="73"/>
      <c r="AH58" s="73"/>
      <c r="AI58" s="68"/>
      <c r="AJ58" s="73"/>
      <c r="AK58" s="73"/>
      <c r="AL58" s="73"/>
      <c r="AM58" s="73"/>
      <c r="AN58" s="73"/>
      <c r="AO58" s="73"/>
      <c r="AP58" s="73"/>
      <c r="AQ58" s="73"/>
      <c r="AR58" s="73"/>
      <c r="AS58" s="73"/>
    </row>
    <row r="59" spans="2:45" x14ac:dyDescent="0.25">
      <c r="B59" s="73"/>
      <c r="AC59" s="73"/>
      <c r="AD59" s="73"/>
      <c r="AE59" s="73"/>
      <c r="AF59" s="73"/>
      <c r="AG59" s="73"/>
      <c r="AH59" s="73"/>
      <c r="AI59" s="68"/>
      <c r="AJ59" s="73"/>
      <c r="AK59" s="73"/>
      <c r="AL59" s="73"/>
      <c r="AM59" s="73"/>
      <c r="AN59" s="73"/>
      <c r="AO59" s="73"/>
      <c r="AP59" s="73"/>
      <c r="AQ59" s="73"/>
      <c r="AR59" s="73"/>
      <c r="AS59" s="73"/>
    </row>
    <row r="60" spans="2:45" x14ac:dyDescent="0.25">
      <c r="B60" s="73"/>
      <c r="AC60" s="73"/>
      <c r="AD60" s="73"/>
      <c r="AE60" s="73"/>
      <c r="AF60" s="73"/>
      <c r="AG60" s="73"/>
      <c r="AH60" s="73"/>
      <c r="AI60" s="68"/>
      <c r="AJ60" s="73"/>
      <c r="AK60" s="73"/>
      <c r="AL60" s="73"/>
      <c r="AM60" s="73"/>
      <c r="AN60" s="73"/>
      <c r="AO60" s="73"/>
      <c r="AP60" s="73"/>
      <c r="AQ60" s="73"/>
      <c r="AR60" s="73"/>
      <c r="AS60" s="73"/>
    </row>
    <row r="61" spans="2:45" x14ac:dyDescent="0.25">
      <c r="B61" s="73"/>
      <c r="AC61" s="73"/>
      <c r="AD61" s="73"/>
      <c r="AE61" s="73"/>
      <c r="AF61" s="73"/>
      <c r="AG61" s="73"/>
      <c r="AH61" s="73"/>
      <c r="AI61" s="68"/>
      <c r="AJ61" s="73"/>
      <c r="AK61" s="73"/>
      <c r="AL61" s="73"/>
      <c r="AM61" s="73"/>
      <c r="AN61" s="73"/>
      <c r="AO61" s="73"/>
      <c r="AP61" s="73"/>
      <c r="AQ61" s="73"/>
      <c r="AR61" s="73"/>
      <c r="AS61" s="73"/>
    </row>
    <row r="62" spans="2:45" x14ac:dyDescent="0.25">
      <c r="B62" s="73"/>
      <c r="AC62" s="73"/>
      <c r="AD62" s="73"/>
      <c r="AE62" s="73"/>
      <c r="AF62" s="73"/>
      <c r="AG62" s="73"/>
      <c r="AH62" s="73"/>
      <c r="AI62" s="68"/>
      <c r="AJ62" s="73"/>
      <c r="AK62" s="73"/>
      <c r="AL62" s="73"/>
      <c r="AM62" s="73"/>
      <c r="AN62" s="73"/>
      <c r="AO62" s="73"/>
      <c r="AP62" s="73"/>
      <c r="AQ62" s="73"/>
      <c r="AR62" s="73"/>
      <c r="AS62" s="73"/>
    </row>
    <row r="63" spans="2:45" x14ac:dyDescent="0.25">
      <c r="B63" s="73"/>
      <c r="AC63" s="73"/>
      <c r="AD63" s="73"/>
      <c r="AE63" s="73"/>
      <c r="AF63" s="73"/>
      <c r="AG63" s="73"/>
      <c r="AH63" s="73"/>
      <c r="AI63" s="68"/>
      <c r="AJ63" s="73"/>
      <c r="AK63" s="73"/>
      <c r="AL63" s="73"/>
      <c r="AM63" s="73"/>
      <c r="AN63" s="73"/>
      <c r="AO63" s="73"/>
      <c r="AP63" s="73"/>
      <c r="AQ63" s="73"/>
      <c r="AR63" s="73"/>
      <c r="AS63" s="73"/>
    </row>
    <row r="64" spans="2:45" x14ac:dyDescent="0.25">
      <c r="B64" s="73"/>
      <c r="AC64" s="73"/>
      <c r="AD64" s="73"/>
      <c r="AE64" s="73"/>
      <c r="AF64" s="73"/>
      <c r="AG64" s="73"/>
      <c r="AH64" s="73"/>
      <c r="AI64" s="68"/>
      <c r="AJ64" s="73"/>
      <c r="AK64" s="73"/>
      <c r="AL64" s="73"/>
      <c r="AM64" s="73"/>
      <c r="AN64" s="73"/>
      <c r="AO64" s="73"/>
      <c r="AP64" s="73"/>
      <c r="AQ64" s="73"/>
      <c r="AR64" s="73"/>
      <c r="AS64" s="73"/>
    </row>
    <row r="65" spans="2:45" x14ac:dyDescent="0.25">
      <c r="B65" s="73"/>
      <c r="AC65" s="73"/>
      <c r="AD65" s="73"/>
      <c r="AE65" s="73"/>
      <c r="AF65" s="73"/>
      <c r="AG65" s="73"/>
      <c r="AH65" s="73"/>
      <c r="AI65" s="68"/>
      <c r="AJ65" s="73"/>
      <c r="AK65" s="73"/>
      <c r="AL65" s="73"/>
      <c r="AM65" s="73"/>
      <c r="AN65" s="73"/>
      <c r="AO65" s="73"/>
      <c r="AP65" s="73"/>
      <c r="AQ65" s="73"/>
      <c r="AR65" s="73"/>
      <c r="AS65" s="73"/>
    </row>
    <row r="66" spans="2:45" x14ac:dyDescent="0.25">
      <c r="B66" s="73"/>
      <c r="AC66" s="73"/>
      <c r="AD66" s="73"/>
      <c r="AE66" s="73"/>
      <c r="AF66" s="73"/>
      <c r="AG66" s="73"/>
      <c r="AH66" s="73"/>
      <c r="AI66" s="68"/>
      <c r="AJ66" s="73"/>
      <c r="AK66" s="73"/>
      <c r="AL66" s="73"/>
      <c r="AM66" s="73"/>
      <c r="AN66" s="73"/>
      <c r="AO66" s="73"/>
      <c r="AP66" s="73"/>
      <c r="AQ66" s="73"/>
      <c r="AR66" s="73"/>
      <c r="AS66" s="73"/>
    </row>
    <row r="67" spans="2:45" x14ac:dyDescent="0.25">
      <c r="B67" s="73"/>
      <c r="AC67" s="73"/>
      <c r="AD67" s="73"/>
      <c r="AE67" s="73"/>
      <c r="AF67" s="73"/>
      <c r="AG67" s="73"/>
      <c r="AH67" s="73"/>
      <c r="AI67" s="68"/>
      <c r="AJ67" s="73"/>
      <c r="AK67" s="73"/>
      <c r="AL67" s="73"/>
      <c r="AM67" s="73"/>
      <c r="AN67" s="73"/>
      <c r="AO67" s="73"/>
      <c r="AP67" s="73"/>
      <c r="AQ67" s="73"/>
      <c r="AR67" s="73"/>
      <c r="AS67" s="73"/>
    </row>
    <row r="68" spans="2:45" x14ac:dyDescent="0.25">
      <c r="B68" s="73"/>
      <c r="AC68" s="73"/>
      <c r="AD68" s="73"/>
      <c r="AE68" s="73"/>
      <c r="AF68" s="73"/>
      <c r="AG68" s="73"/>
      <c r="AH68" s="73"/>
      <c r="AI68" s="68"/>
      <c r="AJ68" s="73"/>
      <c r="AK68" s="73"/>
      <c r="AL68" s="73"/>
      <c r="AM68" s="73"/>
      <c r="AN68" s="73"/>
      <c r="AO68" s="73"/>
      <c r="AP68" s="73"/>
      <c r="AQ68" s="73"/>
      <c r="AR68" s="73"/>
      <c r="AS68" s="73"/>
    </row>
    <row r="69" spans="2:45" x14ac:dyDescent="0.25">
      <c r="B69" s="73"/>
      <c r="AC69" s="73"/>
      <c r="AD69" s="73"/>
      <c r="AE69" s="73"/>
      <c r="AF69" s="73"/>
      <c r="AG69" s="73"/>
      <c r="AH69" s="73"/>
      <c r="AI69" s="68"/>
      <c r="AJ69" s="73"/>
      <c r="AK69" s="73"/>
      <c r="AL69" s="73"/>
      <c r="AM69" s="73"/>
      <c r="AN69" s="73"/>
      <c r="AO69" s="73"/>
      <c r="AP69" s="73"/>
      <c r="AQ69" s="73"/>
      <c r="AR69" s="73"/>
      <c r="AS69" s="73"/>
    </row>
    <row r="70" spans="2:45" x14ac:dyDescent="0.25">
      <c r="B70" s="73"/>
      <c r="AC70" s="73"/>
      <c r="AD70" s="73"/>
      <c r="AE70" s="73"/>
      <c r="AF70" s="73"/>
      <c r="AG70" s="73"/>
      <c r="AH70" s="73"/>
      <c r="AI70" s="68"/>
      <c r="AJ70" s="73"/>
      <c r="AK70" s="73"/>
      <c r="AL70" s="73"/>
      <c r="AM70" s="73"/>
      <c r="AN70" s="73"/>
      <c r="AO70" s="73"/>
      <c r="AP70" s="73"/>
      <c r="AQ70" s="73"/>
      <c r="AR70" s="73"/>
      <c r="AS70" s="73"/>
    </row>
    <row r="71" spans="2:45" x14ac:dyDescent="0.25">
      <c r="B71" s="73"/>
      <c r="AC71" s="73"/>
      <c r="AD71" s="73"/>
      <c r="AE71" s="73"/>
      <c r="AF71" s="73"/>
      <c r="AG71" s="73"/>
      <c r="AH71" s="73"/>
      <c r="AI71" s="68"/>
      <c r="AJ71" s="73"/>
      <c r="AK71" s="73"/>
      <c r="AL71" s="73"/>
      <c r="AM71" s="73"/>
      <c r="AN71" s="73"/>
      <c r="AO71" s="73"/>
      <c r="AP71" s="73"/>
      <c r="AQ71" s="73"/>
      <c r="AR71" s="73"/>
      <c r="AS71" s="73"/>
    </row>
    <row r="72" spans="2:45" x14ac:dyDescent="0.25">
      <c r="B72" s="73"/>
      <c r="AC72" s="73"/>
      <c r="AD72" s="73"/>
      <c r="AE72" s="73"/>
      <c r="AF72" s="73"/>
      <c r="AG72" s="73"/>
      <c r="AH72" s="73"/>
      <c r="AI72" s="68"/>
      <c r="AJ72" s="73"/>
      <c r="AK72" s="73"/>
      <c r="AL72" s="73"/>
      <c r="AM72" s="73"/>
      <c r="AN72" s="73"/>
      <c r="AO72" s="73"/>
      <c r="AP72" s="73"/>
      <c r="AQ72" s="73"/>
      <c r="AR72" s="73"/>
      <c r="AS72" s="73"/>
    </row>
    <row r="73" spans="2:45" x14ac:dyDescent="0.25">
      <c r="B73" s="73"/>
      <c r="AC73" s="73"/>
      <c r="AD73" s="73"/>
      <c r="AE73" s="73"/>
      <c r="AF73" s="73"/>
      <c r="AG73" s="73"/>
      <c r="AH73" s="73"/>
      <c r="AI73" s="68"/>
      <c r="AJ73" s="73"/>
      <c r="AK73" s="73"/>
      <c r="AL73" s="73"/>
      <c r="AM73" s="73"/>
      <c r="AN73" s="73"/>
      <c r="AO73" s="73"/>
      <c r="AP73" s="73"/>
      <c r="AQ73" s="73"/>
      <c r="AR73" s="73"/>
      <c r="AS73" s="73"/>
    </row>
    <row r="74" spans="2:45" x14ac:dyDescent="0.25">
      <c r="B74" s="73"/>
      <c r="AC74" s="73"/>
      <c r="AD74" s="73"/>
      <c r="AE74" s="73"/>
      <c r="AF74" s="73"/>
      <c r="AG74" s="73"/>
      <c r="AH74" s="73"/>
      <c r="AI74" s="68"/>
      <c r="AJ74" s="73"/>
      <c r="AK74" s="73"/>
      <c r="AL74" s="73"/>
      <c r="AM74" s="73"/>
      <c r="AN74" s="73"/>
      <c r="AO74" s="73"/>
      <c r="AP74" s="73"/>
      <c r="AQ74" s="73"/>
      <c r="AR74" s="73"/>
      <c r="AS74" s="73"/>
    </row>
    <row r="75" spans="2:45" x14ac:dyDescent="0.25">
      <c r="B75" s="73"/>
      <c r="AC75" s="73"/>
      <c r="AD75" s="73"/>
      <c r="AE75" s="73"/>
      <c r="AF75" s="73"/>
      <c r="AG75" s="73"/>
      <c r="AH75" s="73"/>
      <c r="AI75" s="68"/>
      <c r="AJ75" s="73"/>
      <c r="AK75" s="73"/>
      <c r="AL75" s="73"/>
      <c r="AM75" s="73"/>
      <c r="AN75" s="73"/>
      <c r="AO75" s="73"/>
      <c r="AP75" s="73"/>
      <c r="AQ75" s="73"/>
      <c r="AR75" s="73"/>
      <c r="AS75" s="73"/>
    </row>
    <row r="76" spans="2:45" x14ac:dyDescent="0.25">
      <c r="B76" s="73"/>
      <c r="AC76" s="73"/>
      <c r="AD76" s="73"/>
      <c r="AE76" s="73"/>
      <c r="AF76" s="73"/>
      <c r="AG76" s="73"/>
      <c r="AH76" s="73"/>
      <c r="AI76" s="68"/>
      <c r="AJ76" s="73"/>
      <c r="AK76" s="73"/>
      <c r="AL76" s="73"/>
      <c r="AM76" s="73"/>
      <c r="AN76" s="73"/>
      <c r="AO76" s="73"/>
      <c r="AP76" s="73"/>
      <c r="AQ76" s="73"/>
      <c r="AR76" s="73"/>
      <c r="AS76" s="73"/>
    </row>
    <row r="77" spans="2:45" x14ac:dyDescent="0.25">
      <c r="B77" s="73"/>
      <c r="AC77" s="73"/>
      <c r="AD77" s="73"/>
      <c r="AE77" s="73"/>
      <c r="AF77" s="73"/>
      <c r="AG77" s="73"/>
      <c r="AH77" s="73"/>
      <c r="AI77" s="68"/>
      <c r="AJ77" s="73"/>
      <c r="AK77" s="73"/>
      <c r="AL77" s="73"/>
      <c r="AM77" s="73"/>
      <c r="AN77" s="73"/>
      <c r="AO77" s="73"/>
      <c r="AP77" s="73"/>
      <c r="AQ77" s="73"/>
      <c r="AR77" s="73"/>
      <c r="AS77" s="73"/>
    </row>
    <row r="78" spans="2:45" x14ac:dyDescent="0.25">
      <c r="B78" s="73"/>
      <c r="AC78" s="73"/>
      <c r="AD78" s="73"/>
      <c r="AE78" s="73"/>
      <c r="AF78" s="73"/>
      <c r="AG78" s="73"/>
      <c r="AH78" s="73"/>
      <c r="AI78" s="68"/>
      <c r="AJ78" s="73"/>
      <c r="AK78" s="73"/>
      <c r="AL78" s="73"/>
      <c r="AM78" s="73"/>
      <c r="AN78" s="73"/>
      <c r="AO78" s="73"/>
      <c r="AP78" s="73"/>
      <c r="AQ78" s="73"/>
      <c r="AR78" s="73"/>
      <c r="AS78" s="73"/>
    </row>
    <row r="79" spans="2:45" x14ac:dyDescent="0.25">
      <c r="B79" s="73"/>
      <c r="AC79" s="73"/>
      <c r="AD79" s="73"/>
      <c r="AE79" s="73"/>
      <c r="AF79" s="73"/>
      <c r="AG79" s="73"/>
      <c r="AH79" s="73"/>
      <c r="AI79" s="68"/>
      <c r="AJ79" s="73"/>
      <c r="AK79" s="73"/>
      <c r="AL79" s="73"/>
      <c r="AM79" s="73"/>
      <c r="AN79" s="73"/>
      <c r="AO79" s="73"/>
      <c r="AP79" s="73"/>
      <c r="AQ79" s="73"/>
      <c r="AR79" s="73"/>
      <c r="AS79" s="73"/>
    </row>
    <row r="80" spans="2:45" x14ac:dyDescent="0.25">
      <c r="B80" s="73"/>
      <c r="AC80" s="73"/>
      <c r="AD80" s="73"/>
      <c r="AE80" s="73"/>
      <c r="AF80" s="73"/>
      <c r="AG80" s="73"/>
      <c r="AH80" s="73"/>
      <c r="AI80" s="68"/>
      <c r="AJ80" s="73"/>
      <c r="AK80" s="73"/>
      <c r="AL80" s="73"/>
      <c r="AM80" s="73"/>
      <c r="AN80" s="73"/>
      <c r="AO80" s="73"/>
      <c r="AP80" s="73"/>
      <c r="AQ80" s="73"/>
      <c r="AR80" s="73"/>
      <c r="AS80" s="73"/>
    </row>
    <row r="81" spans="2:45" x14ac:dyDescent="0.25">
      <c r="B81" s="73"/>
      <c r="AC81" s="73"/>
      <c r="AD81" s="73"/>
      <c r="AE81" s="73"/>
      <c r="AF81" s="73"/>
      <c r="AG81" s="73"/>
      <c r="AH81" s="73"/>
      <c r="AI81" s="68"/>
      <c r="AJ81" s="73"/>
      <c r="AK81" s="73"/>
      <c r="AL81" s="73"/>
      <c r="AM81" s="73"/>
      <c r="AN81" s="73"/>
      <c r="AO81" s="73"/>
      <c r="AP81" s="73"/>
      <c r="AQ81" s="73"/>
      <c r="AR81" s="73"/>
      <c r="AS81" s="73"/>
    </row>
    <row r="82" spans="2:45" x14ac:dyDescent="0.25">
      <c r="B82" s="73"/>
      <c r="AC82" s="73"/>
      <c r="AD82" s="73"/>
      <c r="AE82" s="73"/>
      <c r="AF82" s="73"/>
      <c r="AG82" s="73"/>
      <c r="AH82" s="73"/>
      <c r="AI82" s="68"/>
      <c r="AJ82" s="73"/>
      <c r="AK82" s="73"/>
      <c r="AL82" s="73"/>
      <c r="AM82" s="73"/>
      <c r="AN82" s="73"/>
      <c r="AO82" s="73"/>
      <c r="AP82" s="73"/>
      <c r="AQ82" s="73"/>
      <c r="AR82" s="73"/>
      <c r="AS82" s="73"/>
    </row>
    <row r="83" spans="2:45" x14ac:dyDescent="0.25">
      <c r="B83" s="73"/>
      <c r="AC83" s="73"/>
      <c r="AD83" s="73"/>
      <c r="AE83" s="73"/>
      <c r="AF83" s="73"/>
      <c r="AG83" s="73"/>
      <c r="AH83" s="73"/>
      <c r="AI83" s="68"/>
      <c r="AJ83" s="73"/>
      <c r="AK83" s="73"/>
      <c r="AL83" s="73"/>
      <c r="AM83" s="73"/>
      <c r="AN83" s="73"/>
      <c r="AO83" s="73"/>
      <c r="AP83" s="73"/>
      <c r="AQ83" s="73"/>
      <c r="AR83" s="73"/>
      <c r="AS83" s="73"/>
    </row>
    <row r="84" spans="2:45" x14ac:dyDescent="0.25">
      <c r="B84" s="73"/>
      <c r="AC84" s="73"/>
      <c r="AD84" s="73"/>
      <c r="AE84" s="73"/>
      <c r="AF84" s="73"/>
      <c r="AG84" s="73"/>
      <c r="AH84" s="73"/>
      <c r="AI84" s="68"/>
      <c r="AJ84" s="73"/>
      <c r="AK84" s="73"/>
      <c r="AL84" s="73"/>
      <c r="AM84" s="73"/>
      <c r="AN84" s="73"/>
      <c r="AO84" s="73"/>
      <c r="AP84" s="73"/>
      <c r="AQ84" s="73"/>
      <c r="AR84" s="73"/>
      <c r="AS84" s="73"/>
    </row>
    <row r="85" spans="2:45" x14ac:dyDescent="0.25">
      <c r="B85" s="73"/>
      <c r="AC85" s="73"/>
      <c r="AD85" s="73"/>
      <c r="AE85" s="73"/>
      <c r="AF85" s="73"/>
      <c r="AG85" s="73"/>
      <c r="AH85" s="73"/>
      <c r="AI85" s="68"/>
      <c r="AJ85" s="73"/>
      <c r="AK85" s="73"/>
      <c r="AL85" s="73"/>
      <c r="AM85" s="73"/>
      <c r="AN85" s="73"/>
      <c r="AO85" s="73"/>
      <c r="AP85" s="73"/>
      <c r="AQ85" s="73"/>
      <c r="AR85" s="73"/>
      <c r="AS85" s="73"/>
    </row>
    <row r="86" spans="2:45" x14ac:dyDescent="0.25">
      <c r="B86" s="73"/>
      <c r="AC86" s="73"/>
      <c r="AD86" s="73"/>
      <c r="AE86" s="73"/>
      <c r="AF86" s="73"/>
      <c r="AG86" s="73"/>
      <c r="AH86" s="73"/>
      <c r="AI86" s="68"/>
      <c r="AJ86" s="73"/>
      <c r="AK86" s="73"/>
      <c r="AL86" s="73"/>
      <c r="AM86" s="73"/>
      <c r="AN86" s="73"/>
      <c r="AO86" s="73"/>
      <c r="AP86" s="73"/>
      <c r="AQ86" s="73"/>
      <c r="AR86" s="73"/>
      <c r="AS86" s="73"/>
    </row>
    <row r="87" spans="2:45" x14ac:dyDescent="0.25">
      <c r="B87" s="73"/>
      <c r="AC87" s="73"/>
      <c r="AD87" s="73"/>
      <c r="AE87" s="73"/>
      <c r="AF87" s="73"/>
      <c r="AG87" s="73"/>
      <c r="AH87" s="73"/>
      <c r="AI87" s="68"/>
      <c r="AJ87" s="73"/>
      <c r="AK87" s="73"/>
      <c r="AL87" s="73"/>
      <c r="AM87" s="73"/>
      <c r="AN87" s="73"/>
      <c r="AO87" s="73"/>
      <c r="AP87" s="73"/>
      <c r="AQ87" s="73"/>
      <c r="AR87" s="73"/>
      <c r="AS87" s="73"/>
    </row>
    <row r="88" spans="2:45" x14ac:dyDescent="0.25">
      <c r="B88" s="73"/>
      <c r="AC88" s="73"/>
      <c r="AD88" s="73"/>
      <c r="AE88" s="73"/>
      <c r="AF88" s="73"/>
      <c r="AG88" s="73"/>
      <c r="AH88" s="73"/>
      <c r="AI88" s="68"/>
      <c r="AJ88" s="73"/>
      <c r="AK88" s="73"/>
      <c r="AL88" s="73"/>
      <c r="AM88" s="73"/>
      <c r="AN88" s="73"/>
      <c r="AO88" s="73"/>
      <c r="AP88" s="73"/>
      <c r="AQ88" s="73"/>
      <c r="AR88" s="73"/>
      <c r="AS88" s="73"/>
    </row>
    <row r="89" spans="2:45" x14ac:dyDescent="0.25">
      <c r="B89" s="73"/>
      <c r="AC89" s="73"/>
      <c r="AD89" s="73"/>
      <c r="AE89" s="73"/>
      <c r="AF89" s="73"/>
      <c r="AG89" s="73"/>
      <c r="AH89" s="73"/>
      <c r="AI89" s="68"/>
      <c r="AJ89" s="73"/>
      <c r="AK89" s="73"/>
      <c r="AL89" s="73"/>
      <c r="AM89" s="73"/>
      <c r="AN89" s="73"/>
      <c r="AO89" s="73"/>
      <c r="AP89" s="73"/>
      <c r="AQ89" s="73"/>
      <c r="AR89" s="73"/>
      <c r="AS89" s="73"/>
    </row>
    <row r="90" spans="2:45" x14ac:dyDescent="0.25">
      <c r="B90" s="73"/>
      <c r="AC90" s="73"/>
      <c r="AD90" s="73"/>
      <c r="AE90" s="73"/>
      <c r="AF90" s="73"/>
      <c r="AG90" s="73"/>
      <c r="AH90" s="73"/>
      <c r="AI90" s="68"/>
      <c r="AJ90" s="73"/>
      <c r="AK90" s="73"/>
      <c r="AL90" s="73"/>
      <c r="AM90" s="73"/>
      <c r="AN90" s="73"/>
      <c r="AO90" s="73"/>
      <c r="AP90" s="73"/>
      <c r="AQ90" s="73"/>
      <c r="AR90" s="73"/>
      <c r="AS90" s="73"/>
    </row>
    <row r="91" spans="2:45" x14ac:dyDescent="0.25">
      <c r="B91" s="73"/>
      <c r="AC91" s="73"/>
      <c r="AD91" s="73"/>
      <c r="AE91" s="73"/>
      <c r="AF91" s="73"/>
      <c r="AG91" s="73"/>
      <c r="AH91" s="73"/>
      <c r="AI91" s="68"/>
      <c r="AJ91" s="73"/>
      <c r="AK91" s="73"/>
      <c r="AL91" s="73"/>
      <c r="AM91" s="73"/>
      <c r="AN91" s="73"/>
      <c r="AO91" s="73"/>
      <c r="AP91" s="73"/>
      <c r="AQ91" s="73"/>
      <c r="AR91" s="73"/>
      <c r="AS91" s="73"/>
    </row>
    <row r="92" spans="2:45" x14ac:dyDescent="0.25">
      <c r="B92" s="73"/>
      <c r="AC92" s="73"/>
      <c r="AD92" s="73"/>
      <c r="AE92" s="73"/>
      <c r="AF92" s="73"/>
      <c r="AG92" s="73"/>
      <c r="AH92" s="73"/>
      <c r="AI92" s="68"/>
      <c r="AJ92" s="73"/>
      <c r="AK92" s="73"/>
      <c r="AL92" s="73"/>
      <c r="AM92" s="73"/>
      <c r="AN92" s="73"/>
      <c r="AO92" s="73"/>
      <c r="AP92" s="73"/>
      <c r="AQ92" s="73"/>
      <c r="AR92" s="73"/>
      <c r="AS92" s="73"/>
    </row>
    <row r="93" spans="2:45" x14ac:dyDescent="0.25">
      <c r="B93" s="73"/>
      <c r="AC93" s="73"/>
      <c r="AD93" s="73"/>
      <c r="AE93" s="73"/>
      <c r="AF93" s="73"/>
      <c r="AG93" s="73"/>
      <c r="AH93" s="73"/>
      <c r="AI93" s="68"/>
      <c r="AJ93" s="73"/>
      <c r="AK93" s="73"/>
      <c r="AL93" s="73"/>
      <c r="AM93" s="73"/>
      <c r="AN93" s="73"/>
      <c r="AO93" s="73"/>
      <c r="AP93" s="73"/>
      <c r="AQ93" s="73"/>
      <c r="AR93" s="73"/>
      <c r="AS93" s="73"/>
    </row>
    <row r="94" spans="2:45" x14ac:dyDescent="0.25">
      <c r="B94" s="73"/>
      <c r="AC94" s="73"/>
      <c r="AD94" s="73"/>
      <c r="AE94" s="73"/>
      <c r="AF94" s="73"/>
      <c r="AG94" s="73"/>
      <c r="AH94" s="73"/>
      <c r="AI94" s="68"/>
      <c r="AJ94" s="73"/>
      <c r="AK94" s="73"/>
      <c r="AL94" s="73"/>
      <c r="AM94" s="73"/>
      <c r="AN94" s="73"/>
      <c r="AO94" s="73"/>
      <c r="AP94" s="73"/>
      <c r="AQ94" s="73"/>
      <c r="AR94" s="73"/>
      <c r="AS94" s="73"/>
    </row>
    <row r="95" spans="2:45" x14ac:dyDescent="0.25">
      <c r="B95" s="73"/>
      <c r="AC95" s="73"/>
      <c r="AD95" s="73"/>
      <c r="AE95" s="73"/>
      <c r="AF95" s="73"/>
      <c r="AG95" s="73"/>
      <c r="AH95" s="73"/>
      <c r="AI95" s="68"/>
      <c r="AJ95" s="73"/>
      <c r="AK95" s="73"/>
      <c r="AL95" s="73"/>
      <c r="AM95" s="73"/>
      <c r="AN95" s="73"/>
      <c r="AO95" s="73"/>
      <c r="AP95" s="73"/>
      <c r="AQ95" s="73"/>
      <c r="AR95" s="73"/>
      <c r="AS95" s="73"/>
    </row>
    <row r="96" spans="2:45" x14ac:dyDescent="0.25">
      <c r="B96" s="73"/>
      <c r="AC96" s="73"/>
      <c r="AD96" s="73"/>
      <c r="AE96" s="73"/>
      <c r="AF96" s="73"/>
      <c r="AG96" s="73"/>
      <c r="AH96" s="73"/>
      <c r="AI96" s="68"/>
      <c r="AJ96" s="73"/>
      <c r="AK96" s="73"/>
      <c r="AL96" s="73"/>
      <c r="AM96" s="73"/>
      <c r="AN96" s="73"/>
      <c r="AO96" s="73"/>
      <c r="AP96" s="73"/>
      <c r="AQ96" s="73"/>
      <c r="AR96" s="73"/>
      <c r="AS96" s="73"/>
    </row>
    <row r="97" spans="2:45" x14ac:dyDescent="0.25">
      <c r="B97" s="73"/>
      <c r="AC97" s="73"/>
      <c r="AD97" s="73"/>
      <c r="AE97" s="73"/>
      <c r="AF97" s="73"/>
      <c r="AG97" s="73"/>
      <c r="AH97" s="73"/>
      <c r="AI97" s="68"/>
      <c r="AJ97" s="73"/>
      <c r="AK97" s="73"/>
      <c r="AL97" s="73"/>
      <c r="AM97" s="73"/>
      <c r="AN97" s="73"/>
      <c r="AO97" s="73"/>
      <c r="AP97" s="73"/>
      <c r="AQ97" s="73"/>
      <c r="AR97" s="73"/>
      <c r="AS97" s="73"/>
    </row>
    <row r="98" spans="2:45" x14ac:dyDescent="0.25">
      <c r="B98" s="73"/>
      <c r="AC98" s="73"/>
      <c r="AD98" s="73"/>
      <c r="AE98" s="73"/>
      <c r="AF98" s="73"/>
      <c r="AG98" s="73"/>
      <c r="AH98" s="73"/>
      <c r="AI98" s="68"/>
      <c r="AJ98" s="73"/>
      <c r="AK98" s="73"/>
      <c r="AL98" s="73"/>
      <c r="AM98" s="73"/>
      <c r="AN98" s="73"/>
      <c r="AO98" s="73"/>
      <c r="AP98" s="73"/>
      <c r="AQ98" s="73"/>
      <c r="AR98" s="73"/>
      <c r="AS98" s="73"/>
    </row>
    <row r="99" spans="2:45" x14ac:dyDescent="0.25">
      <c r="B99" s="73"/>
      <c r="AC99" s="73"/>
      <c r="AD99" s="73"/>
      <c r="AE99" s="73"/>
      <c r="AF99" s="73"/>
      <c r="AG99" s="73"/>
      <c r="AH99" s="73"/>
      <c r="AI99" s="68"/>
      <c r="AJ99" s="73"/>
      <c r="AK99" s="73"/>
      <c r="AL99" s="73"/>
      <c r="AM99" s="73"/>
      <c r="AN99" s="73"/>
      <c r="AO99" s="73"/>
      <c r="AP99" s="73"/>
      <c r="AQ99" s="73"/>
      <c r="AR99" s="73"/>
      <c r="AS99" s="73"/>
    </row>
    <row r="100" spans="2:45" x14ac:dyDescent="0.25">
      <c r="B100" s="73"/>
      <c r="AC100" s="73"/>
      <c r="AD100" s="73"/>
      <c r="AE100" s="73"/>
      <c r="AF100" s="73"/>
      <c r="AG100" s="73"/>
      <c r="AH100" s="73"/>
      <c r="AI100" s="68"/>
      <c r="AJ100" s="73"/>
      <c r="AK100" s="73"/>
      <c r="AL100" s="73"/>
      <c r="AM100" s="73"/>
      <c r="AN100" s="73"/>
      <c r="AO100" s="73"/>
      <c r="AP100" s="73"/>
      <c r="AQ100" s="73"/>
      <c r="AR100" s="73"/>
      <c r="AS100" s="73"/>
    </row>
    <row r="101" spans="2:45" x14ac:dyDescent="0.25">
      <c r="B101" s="73"/>
      <c r="AC101" s="73"/>
      <c r="AD101" s="73"/>
      <c r="AE101" s="73"/>
      <c r="AF101" s="73"/>
      <c r="AG101" s="73"/>
      <c r="AH101" s="73"/>
      <c r="AI101" s="68"/>
      <c r="AJ101" s="73"/>
      <c r="AK101" s="73"/>
      <c r="AL101" s="73"/>
      <c r="AM101" s="73"/>
      <c r="AN101" s="73"/>
      <c r="AO101" s="73"/>
      <c r="AP101" s="73"/>
      <c r="AQ101" s="73"/>
      <c r="AR101" s="73"/>
      <c r="AS101" s="73"/>
    </row>
    <row r="102" spans="2:45" x14ac:dyDescent="0.25">
      <c r="B102" s="73"/>
      <c r="AC102" s="73"/>
      <c r="AD102" s="73"/>
      <c r="AE102" s="73"/>
      <c r="AF102" s="73"/>
      <c r="AG102" s="73"/>
      <c r="AH102" s="73"/>
      <c r="AI102" s="68"/>
      <c r="AJ102" s="73"/>
      <c r="AK102" s="73"/>
      <c r="AL102" s="73"/>
      <c r="AM102" s="73"/>
      <c r="AN102" s="73"/>
      <c r="AO102" s="73"/>
      <c r="AP102" s="73"/>
      <c r="AQ102" s="73"/>
      <c r="AR102" s="73"/>
      <c r="AS102" s="73"/>
    </row>
    <row r="103" spans="2:45" x14ac:dyDescent="0.25">
      <c r="B103" s="73"/>
      <c r="AC103" s="73"/>
      <c r="AD103" s="73"/>
      <c r="AE103" s="73"/>
      <c r="AF103" s="73"/>
      <c r="AG103" s="73"/>
      <c r="AH103" s="73"/>
      <c r="AI103" s="68"/>
      <c r="AJ103" s="73"/>
      <c r="AK103" s="73"/>
      <c r="AL103" s="73"/>
      <c r="AM103" s="73"/>
      <c r="AN103" s="73"/>
      <c r="AO103" s="73"/>
      <c r="AP103" s="73"/>
      <c r="AQ103" s="73"/>
      <c r="AR103" s="73"/>
      <c r="AS103" s="73"/>
    </row>
    <row r="104" spans="2:45" x14ac:dyDescent="0.25">
      <c r="B104" s="73"/>
      <c r="AC104" s="73"/>
      <c r="AD104" s="73"/>
      <c r="AE104" s="73"/>
      <c r="AF104" s="73"/>
      <c r="AG104" s="73"/>
      <c r="AH104" s="73"/>
      <c r="AI104" s="68"/>
      <c r="AJ104" s="73"/>
      <c r="AK104" s="73"/>
      <c r="AL104" s="73"/>
      <c r="AM104" s="73"/>
      <c r="AN104" s="73"/>
      <c r="AO104" s="73"/>
      <c r="AP104" s="73"/>
      <c r="AQ104" s="73"/>
      <c r="AR104" s="73"/>
      <c r="AS104" s="73"/>
    </row>
    <row r="105" spans="2:45" x14ac:dyDescent="0.25">
      <c r="B105" s="73"/>
      <c r="AC105" s="73"/>
      <c r="AD105" s="73"/>
      <c r="AE105" s="73"/>
      <c r="AF105" s="73"/>
      <c r="AG105" s="73"/>
      <c r="AH105" s="73"/>
      <c r="AI105" s="68"/>
      <c r="AJ105" s="73"/>
      <c r="AK105" s="73"/>
      <c r="AL105" s="73"/>
      <c r="AM105" s="73"/>
      <c r="AN105" s="73"/>
      <c r="AO105" s="73"/>
      <c r="AP105" s="73"/>
      <c r="AQ105" s="73"/>
      <c r="AR105" s="73"/>
      <c r="AS105" s="73"/>
    </row>
    <row r="106" spans="2:45" x14ac:dyDescent="0.25">
      <c r="B106" s="73"/>
      <c r="AC106" s="73"/>
      <c r="AD106" s="73"/>
      <c r="AE106" s="73"/>
      <c r="AF106" s="73"/>
      <c r="AG106" s="73"/>
      <c r="AH106" s="73"/>
      <c r="AI106" s="68"/>
      <c r="AJ106" s="73"/>
      <c r="AK106" s="73"/>
      <c r="AL106" s="73"/>
      <c r="AM106" s="73"/>
      <c r="AN106" s="73"/>
      <c r="AO106" s="73"/>
      <c r="AP106" s="73"/>
      <c r="AQ106" s="73"/>
      <c r="AR106" s="73"/>
      <c r="AS106" s="73"/>
    </row>
    <row r="107" spans="2:45" x14ac:dyDescent="0.25">
      <c r="B107" s="73"/>
      <c r="AC107" s="73"/>
      <c r="AD107" s="73"/>
      <c r="AE107" s="73"/>
      <c r="AF107" s="73"/>
      <c r="AG107" s="73"/>
      <c r="AH107" s="73"/>
      <c r="AI107" s="68"/>
      <c r="AJ107" s="73"/>
      <c r="AK107" s="73"/>
      <c r="AL107" s="73"/>
      <c r="AM107" s="73"/>
      <c r="AN107" s="73"/>
      <c r="AO107" s="73"/>
      <c r="AP107" s="73"/>
      <c r="AQ107" s="73"/>
      <c r="AR107" s="73"/>
      <c r="AS107" s="73"/>
    </row>
    <row r="108" spans="2:45" x14ac:dyDescent="0.25">
      <c r="B108" s="73"/>
      <c r="AC108" s="73"/>
      <c r="AD108" s="73"/>
      <c r="AE108" s="73"/>
      <c r="AF108" s="73"/>
      <c r="AG108" s="73"/>
      <c r="AH108" s="73"/>
      <c r="AI108" s="68"/>
      <c r="AJ108" s="73"/>
      <c r="AK108" s="73"/>
      <c r="AL108" s="73"/>
      <c r="AM108" s="73"/>
      <c r="AN108" s="73"/>
      <c r="AO108" s="73"/>
      <c r="AP108" s="73"/>
      <c r="AQ108" s="73"/>
      <c r="AR108" s="73"/>
      <c r="AS108" s="73"/>
    </row>
    <row r="109" spans="2:45" x14ac:dyDescent="0.25">
      <c r="B109" s="73"/>
      <c r="AC109" s="73"/>
      <c r="AD109" s="73"/>
      <c r="AE109" s="73"/>
      <c r="AF109" s="73"/>
      <c r="AG109" s="73"/>
      <c r="AH109" s="73"/>
      <c r="AI109" s="68"/>
      <c r="AJ109" s="73"/>
      <c r="AK109" s="73"/>
      <c r="AL109" s="73"/>
      <c r="AM109" s="73"/>
      <c r="AN109" s="73"/>
      <c r="AO109" s="73"/>
      <c r="AP109" s="73"/>
      <c r="AQ109" s="73"/>
      <c r="AR109" s="73"/>
      <c r="AS109" s="73"/>
    </row>
    <row r="110" spans="2:45" x14ac:dyDescent="0.25">
      <c r="B110" s="73"/>
      <c r="AC110" s="73"/>
      <c r="AD110" s="73"/>
      <c r="AE110" s="73"/>
      <c r="AF110" s="73"/>
      <c r="AG110" s="73"/>
      <c r="AH110" s="73"/>
      <c r="AI110" s="68"/>
      <c r="AJ110" s="73"/>
      <c r="AK110" s="73"/>
      <c r="AL110" s="73"/>
      <c r="AM110" s="73"/>
      <c r="AN110" s="73"/>
      <c r="AO110" s="73"/>
      <c r="AP110" s="73"/>
      <c r="AQ110" s="73"/>
      <c r="AR110" s="73"/>
      <c r="AS110" s="73"/>
    </row>
    <row r="111" spans="2:45" x14ac:dyDescent="0.25">
      <c r="B111" s="73"/>
      <c r="AC111" s="73"/>
      <c r="AD111" s="73"/>
      <c r="AE111" s="73"/>
      <c r="AF111" s="73"/>
      <c r="AG111" s="73"/>
      <c r="AH111" s="73"/>
      <c r="AI111" s="68"/>
      <c r="AJ111" s="73"/>
      <c r="AK111" s="73"/>
      <c r="AL111" s="73"/>
      <c r="AM111" s="73"/>
      <c r="AN111" s="73"/>
      <c r="AO111" s="73"/>
      <c r="AP111" s="73"/>
      <c r="AQ111" s="73"/>
      <c r="AR111" s="73"/>
      <c r="AS111" s="73"/>
    </row>
    <row r="112" spans="2:45" x14ac:dyDescent="0.25">
      <c r="B112" s="73"/>
      <c r="AC112" s="73"/>
      <c r="AD112" s="73"/>
      <c r="AE112" s="73"/>
      <c r="AF112" s="73"/>
      <c r="AG112" s="73"/>
      <c r="AH112" s="73"/>
      <c r="AI112" s="68"/>
      <c r="AJ112" s="73"/>
      <c r="AK112" s="73"/>
      <c r="AL112" s="73"/>
      <c r="AM112" s="73"/>
      <c r="AN112" s="73"/>
      <c r="AO112" s="73"/>
      <c r="AP112" s="73"/>
      <c r="AQ112" s="73"/>
      <c r="AR112" s="73"/>
      <c r="AS112" s="73"/>
    </row>
    <row r="113" spans="2:45" x14ac:dyDescent="0.25">
      <c r="B113" s="73"/>
      <c r="AC113" s="73"/>
      <c r="AD113" s="73"/>
      <c r="AE113" s="73"/>
      <c r="AF113" s="73"/>
      <c r="AG113" s="73"/>
      <c r="AH113" s="73"/>
      <c r="AI113" s="68"/>
      <c r="AJ113" s="73"/>
      <c r="AK113" s="73"/>
      <c r="AL113" s="73"/>
      <c r="AM113" s="73"/>
      <c r="AN113" s="73"/>
      <c r="AO113" s="73"/>
      <c r="AP113" s="73"/>
      <c r="AQ113" s="73"/>
      <c r="AR113" s="73"/>
      <c r="AS113" s="73"/>
    </row>
    <row r="114" spans="2:45" x14ac:dyDescent="0.25">
      <c r="B114" s="73"/>
      <c r="AC114" s="73"/>
      <c r="AD114" s="73"/>
      <c r="AE114" s="73"/>
      <c r="AF114" s="73"/>
      <c r="AG114" s="73"/>
      <c r="AH114" s="73"/>
      <c r="AI114" s="68"/>
      <c r="AJ114" s="73"/>
      <c r="AK114" s="73"/>
      <c r="AL114" s="73"/>
      <c r="AM114" s="73"/>
      <c r="AN114" s="73"/>
      <c r="AO114" s="73"/>
      <c r="AP114" s="73"/>
      <c r="AQ114" s="73"/>
      <c r="AR114" s="73"/>
      <c r="AS114" s="73"/>
    </row>
    <row r="115" spans="2:45" x14ac:dyDescent="0.25">
      <c r="B115" s="73"/>
      <c r="AC115" s="73"/>
      <c r="AD115" s="73"/>
      <c r="AE115" s="73"/>
      <c r="AF115" s="73"/>
      <c r="AG115" s="73"/>
      <c r="AH115" s="73"/>
      <c r="AI115" s="68"/>
      <c r="AJ115" s="73"/>
      <c r="AK115" s="73"/>
      <c r="AL115" s="73"/>
      <c r="AM115" s="73"/>
      <c r="AN115" s="73"/>
      <c r="AO115" s="73"/>
      <c r="AP115" s="73"/>
      <c r="AQ115" s="73"/>
      <c r="AR115" s="73"/>
      <c r="AS115" s="73"/>
    </row>
    <row r="116" spans="2:45" x14ac:dyDescent="0.25">
      <c r="B116" s="73"/>
      <c r="AC116" s="73"/>
      <c r="AD116" s="73"/>
      <c r="AE116" s="73"/>
      <c r="AF116" s="73"/>
      <c r="AG116" s="73"/>
      <c r="AH116" s="73"/>
      <c r="AI116" s="68"/>
      <c r="AJ116" s="73"/>
      <c r="AK116" s="73"/>
      <c r="AL116" s="73"/>
      <c r="AM116" s="73"/>
      <c r="AN116" s="73"/>
      <c r="AO116" s="73"/>
      <c r="AP116" s="73"/>
      <c r="AQ116" s="73"/>
      <c r="AR116" s="73"/>
      <c r="AS116" s="73"/>
    </row>
    <row r="117" spans="2:45" x14ac:dyDescent="0.25">
      <c r="B117" s="73"/>
      <c r="AC117" s="73"/>
      <c r="AD117" s="73"/>
      <c r="AE117" s="73"/>
      <c r="AF117" s="73"/>
      <c r="AG117" s="73"/>
      <c r="AH117" s="73"/>
      <c r="AI117" s="68"/>
      <c r="AJ117" s="73"/>
      <c r="AK117" s="73"/>
      <c r="AL117" s="73"/>
      <c r="AM117" s="73"/>
      <c r="AN117" s="73"/>
      <c r="AO117" s="73"/>
      <c r="AP117" s="73"/>
      <c r="AQ117" s="73"/>
      <c r="AR117" s="73"/>
      <c r="AS117" s="73"/>
    </row>
    <row r="118" spans="2:45" x14ac:dyDescent="0.25">
      <c r="B118" s="73"/>
      <c r="AC118" s="73"/>
      <c r="AD118" s="73"/>
      <c r="AE118" s="73"/>
      <c r="AF118" s="73"/>
      <c r="AG118" s="73"/>
      <c r="AH118" s="73"/>
      <c r="AI118" s="68"/>
      <c r="AJ118" s="73"/>
      <c r="AK118" s="73"/>
      <c r="AL118" s="73"/>
      <c r="AM118" s="73"/>
      <c r="AN118" s="73"/>
      <c r="AO118" s="73"/>
      <c r="AP118" s="73"/>
      <c r="AQ118" s="73"/>
      <c r="AR118" s="73"/>
      <c r="AS118" s="73"/>
    </row>
    <row r="119" spans="2:45" x14ac:dyDescent="0.25">
      <c r="B119" s="73"/>
      <c r="AC119" s="73"/>
      <c r="AD119" s="73"/>
      <c r="AE119" s="73"/>
      <c r="AF119" s="73"/>
      <c r="AG119" s="73"/>
      <c r="AH119" s="73"/>
      <c r="AI119" s="68"/>
      <c r="AJ119" s="73"/>
      <c r="AK119" s="73"/>
      <c r="AL119" s="73"/>
      <c r="AM119" s="73"/>
      <c r="AN119" s="73"/>
      <c r="AO119" s="73"/>
      <c r="AP119" s="73"/>
      <c r="AQ119" s="73"/>
      <c r="AR119" s="73"/>
      <c r="AS119" s="73"/>
    </row>
    <row r="120" spans="2:45" x14ac:dyDescent="0.25">
      <c r="B120" s="73"/>
      <c r="AC120" s="73"/>
      <c r="AD120" s="73"/>
      <c r="AE120" s="73"/>
      <c r="AF120" s="73"/>
      <c r="AG120" s="73"/>
      <c r="AH120" s="73"/>
      <c r="AI120" s="68"/>
      <c r="AJ120" s="73"/>
      <c r="AK120" s="73"/>
      <c r="AL120" s="73"/>
      <c r="AM120" s="73"/>
      <c r="AN120" s="73"/>
      <c r="AO120" s="73"/>
      <c r="AP120" s="73"/>
      <c r="AQ120" s="73"/>
      <c r="AR120" s="73"/>
      <c r="AS120" s="73"/>
    </row>
    <row r="121" spans="2:45" x14ac:dyDescent="0.25">
      <c r="B121" s="73"/>
      <c r="AC121" s="73"/>
      <c r="AD121" s="73"/>
      <c r="AE121" s="73"/>
      <c r="AF121" s="73"/>
      <c r="AG121" s="73"/>
      <c r="AH121" s="73"/>
      <c r="AI121" s="68"/>
      <c r="AJ121" s="73"/>
      <c r="AK121" s="73"/>
      <c r="AL121" s="73"/>
      <c r="AM121" s="73"/>
      <c r="AN121" s="73"/>
      <c r="AO121" s="73"/>
      <c r="AP121" s="73"/>
      <c r="AQ121" s="73"/>
      <c r="AR121" s="73"/>
      <c r="AS121" s="73"/>
    </row>
    <row r="122" spans="2:45" x14ac:dyDescent="0.25">
      <c r="B122" s="73"/>
      <c r="AC122" s="73"/>
      <c r="AD122" s="73"/>
      <c r="AE122" s="73"/>
      <c r="AF122" s="73"/>
      <c r="AG122" s="73"/>
      <c r="AH122" s="73"/>
      <c r="AI122" s="68"/>
      <c r="AJ122" s="73"/>
      <c r="AK122" s="73"/>
      <c r="AL122" s="73"/>
      <c r="AM122" s="73"/>
      <c r="AN122" s="73"/>
      <c r="AO122" s="73"/>
      <c r="AP122" s="73"/>
      <c r="AQ122" s="73"/>
      <c r="AR122" s="73"/>
      <c r="AS122" s="73"/>
    </row>
    <row r="123" spans="2:45" x14ac:dyDescent="0.25">
      <c r="B123" s="73"/>
      <c r="AC123" s="73"/>
      <c r="AD123" s="73"/>
      <c r="AE123" s="73"/>
      <c r="AF123" s="73"/>
      <c r="AG123" s="73"/>
      <c r="AH123" s="73"/>
      <c r="AI123" s="68"/>
      <c r="AJ123" s="73"/>
      <c r="AK123" s="73"/>
      <c r="AL123" s="73"/>
      <c r="AM123" s="73"/>
      <c r="AN123" s="73"/>
      <c r="AO123" s="73"/>
      <c r="AP123" s="73"/>
      <c r="AQ123" s="73"/>
      <c r="AR123" s="73"/>
      <c r="AS123" s="73"/>
    </row>
    <row r="124" spans="2:45" x14ac:dyDescent="0.25">
      <c r="B124" s="73"/>
      <c r="AC124" s="73"/>
      <c r="AD124" s="73"/>
      <c r="AE124" s="73"/>
      <c r="AF124" s="73"/>
      <c r="AG124" s="73"/>
      <c r="AH124" s="73"/>
      <c r="AI124" s="68"/>
      <c r="AJ124" s="73"/>
      <c r="AK124" s="73"/>
      <c r="AL124" s="73"/>
      <c r="AM124" s="73"/>
      <c r="AN124" s="73"/>
      <c r="AO124" s="73"/>
      <c r="AP124" s="73"/>
      <c r="AQ124" s="73"/>
      <c r="AR124" s="73"/>
      <c r="AS124" s="73"/>
    </row>
    <row r="125" spans="2:45" x14ac:dyDescent="0.25">
      <c r="B125" s="73"/>
      <c r="AC125" s="73"/>
      <c r="AD125" s="73"/>
      <c r="AE125" s="73"/>
      <c r="AF125" s="73"/>
      <c r="AG125" s="73"/>
      <c r="AH125" s="73"/>
      <c r="AI125" s="68"/>
      <c r="AJ125" s="73"/>
      <c r="AK125" s="73"/>
      <c r="AL125" s="73"/>
      <c r="AM125" s="73"/>
      <c r="AN125" s="73"/>
      <c r="AO125" s="73"/>
      <c r="AP125" s="73"/>
      <c r="AQ125" s="73"/>
      <c r="AR125" s="73"/>
      <c r="AS125" s="73"/>
    </row>
    <row r="126" spans="2:45" x14ac:dyDescent="0.25">
      <c r="B126" s="73"/>
      <c r="AC126" s="73"/>
      <c r="AD126" s="73"/>
      <c r="AE126" s="73"/>
      <c r="AF126" s="73"/>
      <c r="AG126" s="73"/>
      <c r="AH126" s="73"/>
      <c r="AI126" s="68"/>
      <c r="AJ126" s="73"/>
      <c r="AK126" s="73"/>
      <c r="AL126" s="73"/>
      <c r="AM126" s="73"/>
      <c r="AN126" s="73"/>
      <c r="AO126" s="73"/>
      <c r="AP126" s="73"/>
      <c r="AQ126" s="73"/>
      <c r="AR126" s="73"/>
      <c r="AS126" s="73"/>
    </row>
    <row r="127" spans="2:45" x14ac:dyDescent="0.25">
      <c r="B127" s="73"/>
      <c r="AC127" s="73"/>
      <c r="AD127" s="73"/>
      <c r="AE127" s="73"/>
      <c r="AF127" s="73"/>
      <c r="AG127" s="73"/>
      <c r="AH127" s="73"/>
      <c r="AI127" s="68"/>
      <c r="AJ127" s="73"/>
      <c r="AK127" s="73"/>
      <c r="AL127" s="73"/>
      <c r="AM127" s="73"/>
      <c r="AN127" s="73"/>
      <c r="AO127" s="73"/>
      <c r="AP127" s="73"/>
      <c r="AQ127" s="73"/>
      <c r="AR127" s="73"/>
      <c r="AS127" s="73"/>
    </row>
    <row r="128" spans="2:45" x14ac:dyDescent="0.25">
      <c r="B128" s="73"/>
      <c r="AC128" s="73"/>
      <c r="AD128" s="73"/>
      <c r="AE128" s="73"/>
      <c r="AF128" s="73"/>
      <c r="AG128" s="73"/>
      <c r="AH128" s="73"/>
      <c r="AI128" s="68"/>
      <c r="AJ128" s="73"/>
      <c r="AK128" s="73"/>
      <c r="AL128" s="73"/>
      <c r="AM128" s="73"/>
      <c r="AN128" s="73"/>
      <c r="AO128" s="73"/>
      <c r="AP128" s="73"/>
      <c r="AQ128" s="73"/>
      <c r="AR128" s="73"/>
      <c r="AS128" s="73"/>
    </row>
    <row r="129" spans="2:45" x14ac:dyDescent="0.25">
      <c r="B129" s="73"/>
      <c r="AC129" s="73"/>
      <c r="AD129" s="73"/>
      <c r="AE129" s="73"/>
      <c r="AF129" s="73"/>
      <c r="AG129" s="73"/>
      <c r="AH129" s="73"/>
      <c r="AI129" s="68"/>
      <c r="AJ129" s="73"/>
      <c r="AK129" s="73"/>
      <c r="AL129" s="73"/>
      <c r="AM129" s="73"/>
      <c r="AN129" s="73"/>
      <c r="AO129" s="73"/>
      <c r="AP129" s="73"/>
      <c r="AQ129" s="73"/>
      <c r="AR129" s="73"/>
      <c r="AS129" s="73"/>
    </row>
    <row r="130" spans="2:45" x14ac:dyDescent="0.25">
      <c r="B130" s="73"/>
      <c r="AC130" s="73"/>
      <c r="AD130" s="73"/>
      <c r="AE130" s="73"/>
      <c r="AF130" s="73"/>
      <c r="AG130" s="73"/>
      <c r="AH130" s="73"/>
      <c r="AI130" s="68"/>
      <c r="AJ130" s="73"/>
      <c r="AK130" s="73"/>
      <c r="AL130" s="73"/>
      <c r="AM130" s="73"/>
      <c r="AN130" s="73"/>
      <c r="AO130" s="73"/>
      <c r="AP130" s="73"/>
      <c r="AQ130" s="73"/>
      <c r="AR130" s="73"/>
      <c r="AS130" s="73"/>
    </row>
    <row r="131" spans="2:45" x14ac:dyDescent="0.25">
      <c r="B131" s="73"/>
      <c r="AC131" s="73"/>
      <c r="AD131" s="73"/>
      <c r="AE131" s="73"/>
      <c r="AF131" s="73"/>
      <c r="AG131" s="73"/>
      <c r="AH131" s="73"/>
      <c r="AI131" s="68"/>
      <c r="AJ131" s="73"/>
      <c r="AK131" s="73"/>
      <c r="AL131" s="73"/>
      <c r="AM131" s="73"/>
      <c r="AN131" s="73"/>
      <c r="AO131" s="73"/>
      <c r="AP131" s="73"/>
      <c r="AQ131" s="73"/>
      <c r="AR131" s="73"/>
      <c r="AS131" s="73"/>
    </row>
    <row r="132" spans="2:45" x14ac:dyDescent="0.25">
      <c r="B132" s="73"/>
      <c r="AC132" s="73"/>
      <c r="AD132" s="73"/>
      <c r="AE132" s="73"/>
      <c r="AF132" s="73"/>
      <c r="AG132" s="73"/>
      <c r="AH132" s="73"/>
      <c r="AI132" s="68"/>
      <c r="AJ132" s="73"/>
      <c r="AK132" s="73"/>
      <c r="AL132" s="73"/>
      <c r="AM132" s="73"/>
      <c r="AN132" s="73"/>
      <c r="AO132" s="73"/>
      <c r="AP132" s="73"/>
      <c r="AQ132" s="73"/>
      <c r="AR132" s="73"/>
      <c r="AS132" s="73"/>
    </row>
    <row r="133" spans="2:45" x14ac:dyDescent="0.25">
      <c r="B133" s="73"/>
      <c r="AC133" s="73"/>
      <c r="AD133" s="73"/>
      <c r="AE133" s="73"/>
      <c r="AF133" s="73"/>
      <c r="AG133" s="73"/>
      <c r="AH133" s="73"/>
      <c r="AI133" s="68"/>
      <c r="AJ133" s="73"/>
      <c r="AK133" s="73"/>
      <c r="AL133" s="73"/>
      <c r="AM133" s="73"/>
      <c r="AN133" s="73"/>
      <c r="AO133" s="73"/>
      <c r="AP133" s="73"/>
      <c r="AQ133" s="73"/>
      <c r="AR133" s="73"/>
      <c r="AS133" s="73"/>
    </row>
    <row r="134" spans="2:45" x14ac:dyDescent="0.25">
      <c r="B134" s="73"/>
      <c r="AC134" s="73"/>
      <c r="AD134" s="73"/>
      <c r="AE134" s="73"/>
      <c r="AF134" s="73"/>
      <c r="AG134" s="73"/>
      <c r="AH134" s="73"/>
      <c r="AI134" s="68"/>
      <c r="AJ134" s="73"/>
      <c r="AK134" s="73"/>
      <c r="AL134" s="73"/>
      <c r="AM134" s="73"/>
      <c r="AN134" s="73"/>
      <c r="AO134" s="73"/>
      <c r="AP134" s="73"/>
      <c r="AQ134" s="73"/>
      <c r="AR134" s="73"/>
      <c r="AS134" s="73"/>
    </row>
    <row r="135" spans="2:45" x14ac:dyDescent="0.25">
      <c r="B135" s="73"/>
      <c r="AC135" s="73"/>
      <c r="AD135" s="73"/>
      <c r="AE135" s="73"/>
      <c r="AF135" s="73"/>
      <c r="AG135" s="73"/>
      <c r="AH135" s="73"/>
      <c r="AI135" s="68"/>
      <c r="AJ135" s="73"/>
      <c r="AK135" s="73"/>
      <c r="AL135" s="73"/>
      <c r="AM135" s="73"/>
      <c r="AN135" s="73"/>
      <c r="AO135" s="73"/>
      <c r="AP135" s="73"/>
      <c r="AQ135" s="73"/>
      <c r="AR135" s="73"/>
      <c r="AS135" s="73"/>
    </row>
    <row r="136" spans="2:45" x14ac:dyDescent="0.25">
      <c r="B136" s="73"/>
      <c r="AC136" s="73"/>
      <c r="AD136" s="73"/>
      <c r="AE136" s="73"/>
      <c r="AF136" s="73"/>
      <c r="AG136" s="73"/>
      <c r="AH136" s="73"/>
      <c r="AI136" s="68"/>
      <c r="AJ136" s="73"/>
      <c r="AK136" s="73"/>
      <c r="AL136" s="73"/>
      <c r="AM136" s="73"/>
      <c r="AN136" s="73"/>
      <c r="AO136" s="73"/>
      <c r="AP136" s="73"/>
      <c r="AQ136" s="73"/>
      <c r="AR136" s="73"/>
      <c r="AS136" s="73"/>
    </row>
    <row r="137" spans="2:45" x14ac:dyDescent="0.25">
      <c r="B137" s="73"/>
      <c r="AC137" s="73"/>
      <c r="AD137" s="73"/>
      <c r="AE137" s="73"/>
      <c r="AF137" s="73"/>
      <c r="AG137" s="73"/>
      <c r="AH137" s="73"/>
      <c r="AI137" s="68"/>
      <c r="AJ137" s="73"/>
      <c r="AK137" s="73"/>
      <c r="AL137" s="73"/>
      <c r="AM137" s="73"/>
      <c r="AN137" s="73"/>
      <c r="AO137" s="73"/>
      <c r="AP137" s="73"/>
      <c r="AQ137" s="73"/>
      <c r="AR137" s="73"/>
      <c r="AS137" s="73"/>
    </row>
    <row r="138" spans="2:45" x14ac:dyDescent="0.25">
      <c r="B138" s="73"/>
      <c r="AC138" s="73"/>
      <c r="AD138" s="73"/>
      <c r="AE138" s="73"/>
      <c r="AF138" s="73"/>
      <c r="AG138" s="73"/>
      <c r="AH138" s="73"/>
      <c r="AI138" s="68"/>
      <c r="AJ138" s="73"/>
      <c r="AK138" s="73"/>
      <c r="AL138" s="73"/>
      <c r="AM138" s="73"/>
      <c r="AN138" s="73"/>
      <c r="AO138" s="73"/>
      <c r="AP138" s="73"/>
      <c r="AQ138" s="73"/>
      <c r="AR138" s="73"/>
      <c r="AS138" s="73"/>
    </row>
    <row r="139" spans="2:45" x14ac:dyDescent="0.25">
      <c r="B139" s="73"/>
      <c r="AC139" s="73"/>
      <c r="AD139" s="73"/>
      <c r="AE139" s="73"/>
      <c r="AF139" s="73"/>
      <c r="AG139" s="73"/>
      <c r="AH139" s="73"/>
      <c r="AI139" s="68"/>
      <c r="AJ139" s="73"/>
      <c r="AK139" s="73"/>
      <c r="AL139" s="73"/>
      <c r="AM139" s="73"/>
      <c r="AN139" s="73"/>
      <c r="AO139" s="73"/>
      <c r="AP139" s="73"/>
      <c r="AQ139" s="73"/>
      <c r="AR139" s="73"/>
      <c r="AS139" s="73"/>
    </row>
    <row r="140" spans="2:45" x14ac:dyDescent="0.25">
      <c r="B140" s="73"/>
      <c r="AC140" s="73"/>
      <c r="AD140" s="73"/>
      <c r="AE140" s="73"/>
      <c r="AF140" s="73"/>
      <c r="AG140" s="73"/>
      <c r="AH140" s="73"/>
      <c r="AI140" s="68"/>
      <c r="AJ140" s="73"/>
      <c r="AK140" s="73"/>
      <c r="AL140" s="73"/>
      <c r="AM140" s="73"/>
      <c r="AN140" s="73"/>
      <c r="AO140" s="73"/>
      <c r="AP140" s="73"/>
      <c r="AQ140" s="73"/>
      <c r="AR140" s="73"/>
      <c r="AS140" s="73"/>
    </row>
    <row r="141" spans="2:45" x14ac:dyDescent="0.25">
      <c r="B141" s="73"/>
      <c r="AC141" s="73"/>
      <c r="AD141" s="73"/>
      <c r="AE141" s="73"/>
      <c r="AF141" s="73"/>
      <c r="AG141" s="73"/>
      <c r="AH141" s="73"/>
      <c r="AI141" s="68"/>
      <c r="AJ141" s="73"/>
      <c r="AK141" s="73"/>
      <c r="AL141" s="73"/>
      <c r="AM141" s="73"/>
      <c r="AN141" s="73"/>
      <c r="AO141" s="73"/>
      <c r="AP141" s="73"/>
      <c r="AQ141" s="73"/>
      <c r="AR141" s="73"/>
      <c r="AS141" s="73"/>
    </row>
    <row r="142" spans="2:45" x14ac:dyDescent="0.25">
      <c r="B142" s="73"/>
      <c r="AC142" s="73"/>
      <c r="AD142" s="73"/>
      <c r="AE142" s="73"/>
      <c r="AF142" s="73"/>
      <c r="AG142" s="73"/>
      <c r="AH142" s="73"/>
      <c r="AI142" s="68"/>
      <c r="AJ142" s="73"/>
      <c r="AK142" s="73"/>
      <c r="AL142" s="73"/>
      <c r="AM142" s="73"/>
      <c r="AN142" s="73"/>
      <c r="AO142" s="73"/>
      <c r="AP142" s="73"/>
      <c r="AQ142" s="73"/>
      <c r="AR142" s="73"/>
      <c r="AS142" s="73"/>
    </row>
    <row r="143" spans="2:45" x14ac:dyDescent="0.25">
      <c r="B143" s="73"/>
      <c r="AC143" s="73"/>
      <c r="AD143" s="73"/>
      <c r="AE143" s="73"/>
      <c r="AF143" s="73"/>
      <c r="AG143" s="73"/>
      <c r="AH143" s="73"/>
      <c r="AI143" s="68"/>
      <c r="AJ143" s="73"/>
      <c r="AK143" s="73"/>
      <c r="AL143" s="73"/>
      <c r="AM143" s="73"/>
      <c r="AN143" s="73"/>
      <c r="AO143" s="73"/>
      <c r="AP143" s="73"/>
      <c r="AQ143" s="73"/>
      <c r="AR143" s="73"/>
      <c r="AS143" s="73"/>
    </row>
    <row r="144" spans="2:45" x14ac:dyDescent="0.25">
      <c r="B144" s="73"/>
      <c r="AC144" s="73"/>
      <c r="AD144" s="73"/>
      <c r="AE144" s="73"/>
      <c r="AF144" s="73"/>
      <c r="AG144" s="73"/>
      <c r="AH144" s="73"/>
      <c r="AI144" s="68"/>
      <c r="AJ144" s="73"/>
      <c r="AK144" s="73"/>
      <c r="AL144" s="73"/>
      <c r="AM144" s="73"/>
      <c r="AN144" s="73"/>
      <c r="AO144" s="73"/>
      <c r="AP144" s="73"/>
      <c r="AQ144" s="73"/>
      <c r="AR144" s="73"/>
      <c r="AS144" s="73"/>
    </row>
    <row r="145" spans="2:45" x14ac:dyDescent="0.25">
      <c r="B145" s="73"/>
      <c r="AC145" s="73"/>
      <c r="AD145" s="73"/>
      <c r="AE145" s="73"/>
      <c r="AF145" s="73"/>
      <c r="AG145" s="73"/>
      <c r="AH145" s="73"/>
      <c r="AI145" s="68"/>
      <c r="AJ145" s="73"/>
      <c r="AK145" s="73"/>
      <c r="AL145" s="73"/>
      <c r="AM145" s="73"/>
      <c r="AN145" s="73"/>
      <c r="AO145" s="73"/>
      <c r="AP145" s="73"/>
      <c r="AQ145" s="73"/>
      <c r="AR145" s="73"/>
      <c r="AS145" s="73"/>
    </row>
    <row r="146" spans="2:45" x14ac:dyDescent="0.25">
      <c r="B146" s="73"/>
      <c r="AC146" s="73"/>
      <c r="AD146" s="73"/>
      <c r="AE146" s="73"/>
      <c r="AF146" s="73"/>
      <c r="AG146" s="73"/>
      <c r="AH146" s="73"/>
      <c r="AI146" s="68"/>
      <c r="AJ146" s="73"/>
      <c r="AK146" s="73"/>
      <c r="AL146" s="73"/>
      <c r="AM146" s="73"/>
      <c r="AN146" s="73"/>
      <c r="AO146" s="73"/>
      <c r="AP146" s="73"/>
      <c r="AQ146" s="73"/>
      <c r="AR146" s="73"/>
      <c r="AS146" s="73"/>
    </row>
    <row r="147" spans="2:45" x14ac:dyDescent="0.25">
      <c r="B147" s="73"/>
      <c r="AC147" s="73"/>
      <c r="AD147" s="73"/>
      <c r="AE147" s="73"/>
      <c r="AF147" s="73"/>
      <c r="AG147" s="73"/>
      <c r="AH147" s="73"/>
      <c r="AI147" s="68"/>
      <c r="AJ147" s="73"/>
      <c r="AK147" s="73"/>
      <c r="AL147" s="73"/>
      <c r="AM147" s="73"/>
      <c r="AN147" s="73"/>
      <c r="AO147" s="73"/>
      <c r="AP147" s="73"/>
      <c r="AQ147" s="73"/>
      <c r="AR147" s="73"/>
      <c r="AS147" s="73"/>
    </row>
    <row r="148" spans="2:45" x14ac:dyDescent="0.25">
      <c r="B148" s="73"/>
      <c r="AC148" s="73"/>
      <c r="AD148" s="73"/>
      <c r="AE148" s="73"/>
      <c r="AF148" s="73"/>
      <c r="AG148" s="73"/>
      <c r="AH148" s="73"/>
      <c r="AI148" s="68"/>
      <c r="AJ148" s="73"/>
      <c r="AK148" s="73"/>
      <c r="AL148" s="73"/>
      <c r="AM148" s="73"/>
      <c r="AN148" s="73"/>
      <c r="AO148" s="73"/>
      <c r="AP148" s="73"/>
      <c r="AQ148" s="73"/>
      <c r="AR148" s="73"/>
      <c r="AS148" s="73"/>
    </row>
    <row r="149" spans="2:45" x14ac:dyDescent="0.25">
      <c r="B149" s="73"/>
      <c r="AC149" s="73"/>
      <c r="AD149" s="73"/>
      <c r="AE149" s="73"/>
      <c r="AF149" s="73"/>
      <c r="AG149" s="73"/>
      <c r="AH149" s="73"/>
      <c r="AI149" s="68"/>
      <c r="AJ149" s="73"/>
      <c r="AK149" s="73"/>
      <c r="AL149" s="73"/>
      <c r="AM149" s="73"/>
      <c r="AN149" s="73"/>
      <c r="AO149" s="73"/>
      <c r="AP149" s="73"/>
      <c r="AQ149" s="73"/>
      <c r="AR149" s="73"/>
      <c r="AS149" s="73"/>
    </row>
    <row r="150" spans="2:45" x14ac:dyDescent="0.25">
      <c r="B150" s="73"/>
      <c r="AC150" s="73"/>
      <c r="AD150" s="73"/>
      <c r="AE150" s="73"/>
      <c r="AF150" s="73"/>
      <c r="AG150" s="73"/>
      <c r="AH150" s="73"/>
      <c r="AI150" s="68"/>
      <c r="AJ150" s="73"/>
      <c r="AK150" s="73"/>
      <c r="AL150" s="73"/>
      <c r="AM150" s="73"/>
      <c r="AN150" s="73"/>
      <c r="AO150" s="73"/>
      <c r="AP150" s="73"/>
      <c r="AQ150" s="73"/>
      <c r="AR150" s="73"/>
      <c r="AS150" s="73"/>
    </row>
    <row r="151" spans="2:45" x14ac:dyDescent="0.25">
      <c r="B151" s="73"/>
      <c r="AC151" s="73"/>
      <c r="AD151" s="73"/>
      <c r="AE151" s="73"/>
      <c r="AF151" s="73"/>
      <c r="AG151" s="73"/>
      <c r="AH151" s="73"/>
      <c r="AI151" s="68"/>
      <c r="AJ151" s="73"/>
      <c r="AK151" s="73"/>
      <c r="AL151" s="73"/>
      <c r="AM151" s="73"/>
      <c r="AN151" s="73"/>
      <c r="AO151" s="73"/>
      <c r="AP151" s="73"/>
      <c r="AQ151" s="73"/>
      <c r="AR151" s="73"/>
      <c r="AS151" s="73"/>
    </row>
    <row r="152" spans="2:45" x14ac:dyDescent="0.25">
      <c r="B152" s="73"/>
      <c r="AC152" s="73"/>
      <c r="AD152" s="73"/>
      <c r="AE152" s="73"/>
      <c r="AF152" s="73"/>
      <c r="AG152" s="73"/>
      <c r="AH152" s="73"/>
      <c r="AI152" s="68"/>
      <c r="AJ152" s="73"/>
      <c r="AK152" s="73"/>
      <c r="AL152" s="73"/>
      <c r="AM152" s="73"/>
      <c r="AN152" s="73"/>
      <c r="AO152" s="73"/>
      <c r="AP152" s="73"/>
      <c r="AQ152" s="73"/>
      <c r="AR152" s="73"/>
      <c r="AS152" s="73"/>
    </row>
    <row r="153" spans="2:45" x14ac:dyDescent="0.25">
      <c r="B153" s="73"/>
      <c r="AC153" s="73"/>
      <c r="AD153" s="73"/>
      <c r="AE153" s="73"/>
      <c r="AF153" s="73"/>
      <c r="AG153" s="73"/>
      <c r="AH153" s="73"/>
      <c r="AI153" s="68"/>
      <c r="AJ153" s="73"/>
      <c r="AK153" s="73"/>
      <c r="AL153" s="73"/>
      <c r="AM153" s="73"/>
      <c r="AN153" s="73"/>
      <c r="AO153" s="73"/>
      <c r="AP153" s="73"/>
      <c r="AQ153" s="73"/>
      <c r="AR153" s="73"/>
      <c r="AS153" s="73"/>
    </row>
    <row r="154" spans="2:45" x14ac:dyDescent="0.25">
      <c r="B154" s="73"/>
      <c r="AC154" s="73"/>
      <c r="AD154" s="73"/>
      <c r="AE154" s="73"/>
      <c r="AF154" s="73"/>
      <c r="AG154" s="73"/>
      <c r="AH154" s="73"/>
      <c r="AI154" s="68"/>
      <c r="AJ154" s="73"/>
      <c r="AK154" s="73"/>
      <c r="AL154" s="73"/>
      <c r="AM154" s="73"/>
      <c r="AN154" s="73"/>
      <c r="AO154" s="73"/>
      <c r="AP154" s="73"/>
      <c r="AQ154" s="73"/>
      <c r="AR154" s="73"/>
      <c r="AS154" s="73"/>
    </row>
    <row r="155" spans="2:45" x14ac:dyDescent="0.25">
      <c r="B155" s="73"/>
      <c r="AC155" s="73"/>
      <c r="AD155" s="73"/>
      <c r="AE155" s="73"/>
      <c r="AF155" s="73"/>
      <c r="AG155" s="73"/>
      <c r="AH155" s="73"/>
      <c r="AI155" s="68"/>
      <c r="AJ155" s="73"/>
      <c r="AK155" s="73"/>
      <c r="AL155" s="73"/>
      <c r="AM155" s="73"/>
      <c r="AN155" s="73"/>
      <c r="AO155" s="73"/>
      <c r="AP155" s="73"/>
      <c r="AQ155" s="73"/>
      <c r="AR155" s="73"/>
      <c r="AS155" s="73"/>
    </row>
    <row r="156" spans="2:45" x14ac:dyDescent="0.25">
      <c r="B156" s="73"/>
      <c r="AC156" s="73"/>
      <c r="AD156" s="73"/>
      <c r="AE156" s="73"/>
      <c r="AF156" s="73"/>
      <c r="AG156" s="73"/>
      <c r="AH156" s="73"/>
      <c r="AI156" s="68"/>
      <c r="AJ156" s="73"/>
      <c r="AK156" s="73"/>
      <c r="AL156" s="73"/>
      <c r="AM156" s="73"/>
      <c r="AN156" s="73"/>
      <c r="AO156" s="73"/>
      <c r="AP156" s="73"/>
      <c r="AQ156" s="73"/>
      <c r="AR156" s="73"/>
      <c r="AS156" s="73"/>
    </row>
    <row r="157" spans="2:45" x14ac:dyDescent="0.25">
      <c r="B157" s="73"/>
      <c r="AC157" s="73"/>
      <c r="AD157" s="73"/>
      <c r="AE157" s="73"/>
      <c r="AF157" s="73"/>
      <c r="AG157" s="73"/>
      <c r="AH157" s="73"/>
      <c r="AI157" s="68"/>
      <c r="AJ157" s="73"/>
      <c r="AK157" s="73"/>
      <c r="AL157" s="73"/>
      <c r="AM157" s="73"/>
      <c r="AN157" s="73"/>
      <c r="AO157" s="73"/>
      <c r="AP157" s="73"/>
      <c r="AQ157" s="73"/>
      <c r="AR157" s="73"/>
      <c r="AS157" s="73"/>
    </row>
    <row r="158" spans="2:45" x14ac:dyDescent="0.25">
      <c r="B158" s="73"/>
      <c r="AC158" s="73"/>
      <c r="AD158" s="73"/>
      <c r="AE158" s="73"/>
      <c r="AF158" s="73"/>
      <c r="AG158" s="73"/>
      <c r="AH158" s="73"/>
      <c r="AI158" s="68"/>
      <c r="AJ158" s="73"/>
      <c r="AK158" s="73"/>
      <c r="AL158" s="73"/>
      <c r="AM158" s="73"/>
      <c r="AN158" s="73"/>
      <c r="AO158" s="73"/>
      <c r="AP158" s="73"/>
      <c r="AQ158" s="73"/>
      <c r="AR158" s="73"/>
      <c r="AS158" s="73"/>
    </row>
    <row r="159" spans="2:45" x14ac:dyDescent="0.25">
      <c r="B159" s="73"/>
      <c r="AC159" s="73"/>
      <c r="AD159" s="73"/>
      <c r="AE159" s="73"/>
      <c r="AF159" s="73"/>
      <c r="AG159" s="73"/>
      <c r="AH159" s="73"/>
      <c r="AI159" s="68"/>
      <c r="AJ159" s="73"/>
      <c r="AK159" s="73"/>
      <c r="AL159" s="73"/>
      <c r="AM159" s="73"/>
      <c r="AN159" s="73"/>
      <c r="AO159" s="73"/>
      <c r="AP159" s="73"/>
      <c r="AQ159" s="73"/>
      <c r="AR159" s="73"/>
      <c r="AS159" s="73"/>
    </row>
    <row r="160" spans="2:45" x14ac:dyDescent="0.25">
      <c r="B160" s="73"/>
      <c r="AC160" s="73"/>
      <c r="AD160" s="73"/>
      <c r="AE160" s="73"/>
      <c r="AF160" s="73"/>
      <c r="AG160" s="73"/>
      <c r="AH160" s="73"/>
      <c r="AI160" s="68"/>
      <c r="AJ160" s="73"/>
      <c r="AK160" s="73"/>
      <c r="AL160" s="73"/>
      <c r="AM160" s="73"/>
      <c r="AN160" s="73"/>
      <c r="AO160" s="73"/>
      <c r="AP160" s="73"/>
      <c r="AQ160" s="73"/>
      <c r="AR160" s="73"/>
      <c r="AS160" s="73"/>
    </row>
    <row r="161" spans="2:45" x14ac:dyDescent="0.25">
      <c r="B161" s="73"/>
      <c r="AC161" s="73"/>
      <c r="AD161" s="73"/>
      <c r="AE161" s="73"/>
      <c r="AF161" s="73"/>
      <c r="AG161" s="73"/>
      <c r="AH161" s="73"/>
      <c r="AI161" s="68"/>
      <c r="AJ161" s="73"/>
      <c r="AK161" s="73"/>
      <c r="AL161" s="73"/>
      <c r="AM161" s="73"/>
      <c r="AN161" s="73"/>
      <c r="AO161" s="73"/>
      <c r="AP161" s="73"/>
      <c r="AQ161" s="73"/>
      <c r="AR161" s="73"/>
      <c r="AS161" s="73"/>
    </row>
    <row r="162" spans="2:45" x14ac:dyDescent="0.25">
      <c r="B162" s="73"/>
      <c r="AC162" s="73"/>
      <c r="AD162" s="73"/>
      <c r="AE162" s="73"/>
      <c r="AF162" s="73"/>
      <c r="AG162" s="73"/>
      <c r="AH162" s="73"/>
      <c r="AI162" s="68"/>
      <c r="AJ162" s="73"/>
      <c r="AK162" s="73"/>
      <c r="AL162" s="73"/>
      <c r="AM162" s="73"/>
      <c r="AN162" s="73"/>
      <c r="AO162" s="73"/>
      <c r="AP162" s="73"/>
      <c r="AQ162" s="73"/>
      <c r="AR162" s="73"/>
      <c r="AS162" s="73"/>
    </row>
    <row r="163" spans="2:45" x14ac:dyDescent="0.25">
      <c r="B163" s="73"/>
      <c r="AC163" s="73"/>
      <c r="AD163" s="73"/>
      <c r="AE163" s="73"/>
      <c r="AF163" s="73"/>
      <c r="AG163" s="73"/>
      <c r="AH163" s="73"/>
      <c r="AI163" s="68"/>
      <c r="AJ163" s="73"/>
      <c r="AK163" s="73"/>
      <c r="AL163" s="73"/>
      <c r="AM163" s="73"/>
      <c r="AN163" s="73"/>
      <c r="AO163" s="73"/>
      <c r="AP163" s="73"/>
      <c r="AQ163" s="73"/>
      <c r="AR163" s="73"/>
      <c r="AS163" s="73"/>
    </row>
    <row r="164" spans="2:45" x14ac:dyDescent="0.25">
      <c r="B164" s="73"/>
      <c r="AC164" s="73"/>
      <c r="AD164" s="73"/>
      <c r="AE164" s="73"/>
      <c r="AF164" s="73"/>
      <c r="AG164" s="73"/>
      <c r="AH164" s="73"/>
      <c r="AI164" s="68"/>
      <c r="AJ164" s="73"/>
      <c r="AK164" s="73"/>
      <c r="AL164" s="73"/>
      <c r="AM164" s="73"/>
      <c r="AN164" s="73"/>
      <c r="AO164" s="73"/>
      <c r="AP164" s="73"/>
      <c r="AQ164" s="73"/>
      <c r="AR164" s="73"/>
      <c r="AS164" s="73"/>
    </row>
    <row r="165" spans="2:45" x14ac:dyDescent="0.25">
      <c r="B165" s="73"/>
      <c r="AC165" s="73"/>
      <c r="AD165" s="73"/>
      <c r="AE165" s="73"/>
      <c r="AF165" s="73"/>
      <c r="AG165" s="73"/>
      <c r="AH165" s="73"/>
      <c r="AI165" s="68"/>
      <c r="AJ165" s="73"/>
      <c r="AK165" s="73"/>
      <c r="AL165" s="73"/>
      <c r="AM165" s="73"/>
      <c r="AN165" s="73"/>
      <c r="AO165" s="73"/>
      <c r="AP165" s="73"/>
      <c r="AQ165" s="73"/>
      <c r="AR165" s="73"/>
      <c r="AS165" s="73"/>
    </row>
    <row r="166" spans="2:45" x14ac:dyDescent="0.25">
      <c r="B166" s="73"/>
      <c r="AC166" s="73"/>
      <c r="AD166" s="73"/>
      <c r="AE166" s="73"/>
      <c r="AF166" s="73"/>
      <c r="AG166" s="73"/>
      <c r="AH166" s="73"/>
      <c r="AI166" s="68"/>
      <c r="AJ166" s="73"/>
      <c r="AK166" s="73"/>
      <c r="AL166" s="73"/>
      <c r="AM166" s="73"/>
      <c r="AN166" s="73"/>
      <c r="AO166" s="73"/>
      <c r="AP166" s="73"/>
      <c r="AQ166" s="73"/>
      <c r="AR166" s="73"/>
      <c r="AS166" s="73"/>
    </row>
    <row r="167" spans="2:45" x14ac:dyDescent="0.25">
      <c r="B167" s="73"/>
      <c r="AC167" s="73"/>
      <c r="AD167" s="73"/>
      <c r="AE167" s="73"/>
      <c r="AF167" s="73"/>
      <c r="AG167" s="73"/>
      <c r="AH167" s="73"/>
      <c r="AI167" s="68"/>
      <c r="AJ167" s="73"/>
      <c r="AK167" s="73"/>
      <c r="AL167" s="73"/>
      <c r="AM167" s="73"/>
      <c r="AN167" s="73"/>
      <c r="AO167" s="73"/>
      <c r="AP167" s="73"/>
      <c r="AQ167" s="73"/>
      <c r="AR167" s="73"/>
      <c r="AS167" s="73"/>
    </row>
    <row r="168" spans="2:45" x14ac:dyDescent="0.25">
      <c r="B168" s="73"/>
      <c r="AC168" s="73"/>
      <c r="AD168" s="73"/>
      <c r="AE168" s="73"/>
      <c r="AF168" s="73"/>
      <c r="AG168" s="73"/>
      <c r="AH168" s="73"/>
      <c r="AI168" s="68"/>
      <c r="AJ168" s="73"/>
      <c r="AK168" s="73"/>
      <c r="AL168" s="73"/>
      <c r="AM168" s="73"/>
      <c r="AN168" s="73"/>
      <c r="AO168" s="73"/>
      <c r="AP168" s="73"/>
      <c r="AQ168" s="73"/>
      <c r="AR168" s="73"/>
      <c r="AS168" s="73"/>
    </row>
    <row r="169" spans="2:45" x14ac:dyDescent="0.25">
      <c r="B169" s="73"/>
      <c r="AC169" s="73"/>
      <c r="AD169" s="73"/>
      <c r="AE169" s="73"/>
      <c r="AF169" s="73"/>
      <c r="AG169" s="73"/>
      <c r="AH169" s="73"/>
      <c r="AI169" s="68"/>
      <c r="AJ169" s="73"/>
      <c r="AK169" s="73"/>
      <c r="AL169" s="73"/>
      <c r="AM169" s="73"/>
      <c r="AN169" s="73"/>
      <c r="AO169" s="73"/>
      <c r="AP169" s="73"/>
      <c r="AQ169" s="73"/>
      <c r="AR169" s="73"/>
      <c r="AS169" s="73"/>
    </row>
    <row r="170" spans="2:45" x14ac:dyDescent="0.25">
      <c r="B170" s="73"/>
      <c r="AC170" s="73"/>
      <c r="AD170" s="73"/>
      <c r="AE170" s="73"/>
      <c r="AF170" s="73"/>
      <c r="AG170" s="73"/>
      <c r="AH170" s="73"/>
      <c r="AI170" s="68"/>
      <c r="AJ170" s="73"/>
      <c r="AK170" s="73"/>
      <c r="AL170" s="73"/>
      <c r="AM170" s="73"/>
      <c r="AN170" s="73"/>
      <c r="AO170" s="73"/>
      <c r="AP170" s="73"/>
      <c r="AQ170" s="73"/>
      <c r="AR170" s="73"/>
      <c r="AS170" s="73"/>
    </row>
    <row r="171" spans="2:45" x14ac:dyDescent="0.25">
      <c r="B171" s="73"/>
      <c r="AC171" s="73"/>
      <c r="AD171" s="73"/>
      <c r="AE171" s="73"/>
      <c r="AF171" s="73"/>
      <c r="AG171" s="73"/>
      <c r="AH171" s="73"/>
      <c r="AI171" s="68"/>
      <c r="AJ171" s="73"/>
      <c r="AK171" s="73"/>
      <c r="AL171" s="73"/>
      <c r="AM171" s="73"/>
      <c r="AN171" s="73"/>
      <c r="AO171" s="73"/>
      <c r="AP171" s="73"/>
      <c r="AQ171" s="73"/>
      <c r="AR171" s="73"/>
      <c r="AS171" s="73"/>
    </row>
    <row r="172" spans="2:45" x14ac:dyDescent="0.25">
      <c r="B172" s="73"/>
      <c r="AC172" s="73"/>
      <c r="AD172" s="73"/>
      <c r="AE172" s="73"/>
      <c r="AF172" s="73"/>
      <c r="AG172" s="73"/>
      <c r="AH172" s="73"/>
      <c r="AI172" s="68"/>
      <c r="AJ172" s="73"/>
      <c r="AK172" s="73"/>
      <c r="AL172" s="73"/>
      <c r="AM172" s="73"/>
      <c r="AN172" s="73"/>
      <c r="AO172" s="73"/>
      <c r="AP172" s="73"/>
      <c r="AQ172" s="73"/>
      <c r="AR172" s="73"/>
      <c r="AS172" s="73"/>
    </row>
    <row r="173" spans="2:45" x14ac:dyDescent="0.25">
      <c r="B173" s="73"/>
      <c r="AC173" s="73"/>
      <c r="AD173" s="73"/>
      <c r="AE173" s="73"/>
      <c r="AF173" s="73"/>
      <c r="AG173" s="73"/>
      <c r="AH173" s="73"/>
      <c r="AI173" s="68"/>
      <c r="AJ173" s="73"/>
      <c r="AK173" s="73"/>
      <c r="AL173" s="73"/>
      <c r="AM173" s="73"/>
      <c r="AN173" s="73"/>
      <c r="AO173" s="73"/>
      <c r="AP173" s="73"/>
      <c r="AQ173" s="73"/>
      <c r="AR173" s="73"/>
      <c r="AS173" s="73"/>
    </row>
    <row r="174" spans="2:45" x14ac:dyDescent="0.25">
      <c r="B174" s="73"/>
      <c r="AC174" s="73"/>
      <c r="AD174" s="73"/>
      <c r="AE174" s="73"/>
      <c r="AF174" s="73"/>
      <c r="AG174" s="73"/>
      <c r="AH174" s="73"/>
      <c r="AI174" s="68"/>
      <c r="AJ174" s="73"/>
      <c r="AK174" s="73"/>
      <c r="AL174" s="73"/>
      <c r="AM174" s="73"/>
      <c r="AN174" s="73"/>
      <c r="AO174" s="73"/>
      <c r="AP174" s="73"/>
      <c r="AQ174" s="73"/>
      <c r="AR174" s="73"/>
      <c r="AS174" s="73"/>
    </row>
    <row r="175" spans="2:45" x14ac:dyDescent="0.25">
      <c r="B175" s="73"/>
      <c r="AC175" s="73"/>
      <c r="AD175" s="73"/>
      <c r="AE175" s="73"/>
      <c r="AF175" s="73"/>
      <c r="AG175" s="73"/>
      <c r="AH175" s="73"/>
      <c r="AI175" s="68"/>
      <c r="AJ175" s="73"/>
      <c r="AK175" s="73"/>
      <c r="AL175" s="73"/>
      <c r="AM175" s="73"/>
      <c r="AN175" s="73"/>
      <c r="AO175" s="73"/>
      <c r="AP175" s="73"/>
      <c r="AQ175" s="73"/>
      <c r="AR175" s="73"/>
      <c r="AS175" s="73"/>
    </row>
    <row r="176" spans="2:45" x14ac:dyDescent="0.25">
      <c r="B176" s="73"/>
      <c r="AC176" s="73"/>
      <c r="AD176" s="73"/>
      <c r="AE176" s="73"/>
      <c r="AF176" s="73"/>
      <c r="AG176" s="73"/>
      <c r="AH176" s="73"/>
      <c r="AI176" s="68"/>
      <c r="AJ176" s="73"/>
      <c r="AK176" s="73"/>
      <c r="AL176" s="73"/>
      <c r="AM176" s="73"/>
      <c r="AN176" s="73"/>
      <c r="AO176" s="73"/>
      <c r="AP176" s="73"/>
      <c r="AQ176" s="73"/>
      <c r="AR176" s="73"/>
      <c r="AS176" s="73"/>
    </row>
    <row r="177" spans="2:45" x14ac:dyDescent="0.25">
      <c r="B177" s="73"/>
      <c r="AC177" s="73"/>
      <c r="AD177" s="73"/>
      <c r="AE177" s="73"/>
      <c r="AF177" s="73"/>
      <c r="AG177" s="73"/>
      <c r="AH177" s="73"/>
      <c r="AI177" s="68"/>
      <c r="AJ177" s="73"/>
      <c r="AK177" s="73"/>
      <c r="AL177" s="73"/>
      <c r="AM177" s="73"/>
      <c r="AN177" s="73"/>
      <c r="AO177" s="73"/>
      <c r="AP177" s="73"/>
      <c r="AQ177" s="73"/>
      <c r="AR177" s="73"/>
      <c r="AS177" s="73"/>
    </row>
    <row r="178" spans="2:45" x14ac:dyDescent="0.25">
      <c r="B178" s="73"/>
      <c r="AC178" s="73"/>
      <c r="AD178" s="73"/>
      <c r="AE178" s="73"/>
      <c r="AF178" s="73"/>
      <c r="AG178" s="73"/>
      <c r="AH178" s="73"/>
      <c r="AI178" s="68"/>
      <c r="AJ178" s="73"/>
      <c r="AK178" s="73"/>
      <c r="AL178" s="73"/>
      <c r="AM178" s="73"/>
      <c r="AN178" s="73"/>
      <c r="AO178" s="73"/>
      <c r="AP178" s="73"/>
      <c r="AQ178" s="73"/>
      <c r="AR178" s="73"/>
      <c r="AS178" s="73"/>
    </row>
    <row r="179" spans="2:45" x14ac:dyDescent="0.25">
      <c r="B179" s="73"/>
      <c r="AC179" s="73"/>
      <c r="AD179" s="73"/>
      <c r="AE179" s="73"/>
      <c r="AF179" s="73"/>
      <c r="AG179" s="73"/>
      <c r="AH179" s="73"/>
      <c r="AI179" s="68"/>
      <c r="AJ179" s="73"/>
      <c r="AK179" s="73"/>
      <c r="AL179" s="73"/>
      <c r="AM179" s="73"/>
      <c r="AN179" s="73"/>
      <c r="AO179" s="73"/>
      <c r="AP179" s="73"/>
      <c r="AQ179" s="73"/>
      <c r="AR179" s="73"/>
      <c r="AS179" s="73"/>
    </row>
    <row r="180" spans="2:45" x14ac:dyDescent="0.25">
      <c r="B180" s="73"/>
      <c r="AC180" s="73"/>
      <c r="AD180" s="73"/>
      <c r="AE180" s="73"/>
      <c r="AF180" s="73"/>
      <c r="AG180" s="73"/>
      <c r="AH180" s="73"/>
      <c r="AI180" s="68"/>
      <c r="AJ180" s="73"/>
      <c r="AK180" s="73"/>
      <c r="AL180" s="73"/>
      <c r="AM180" s="73"/>
      <c r="AN180" s="73"/>
      <c r="AO180" s="73"/>
      <c r="AP180" s="73"/>
      <c r="AQ180" s="73"/>
      <c r="AR180" s="73"/>
      <c r="AS180" s="73"/>
    </row>
    <row r="181" spans="2:45" x14ac:dyDescent="0.25">
      <c r="B181" s="73"/>
      <c r="AC181" s="73"/>
      <c r="AD181" s="73"/>
      <c r="AE181" s="73"/>
      <c r="AF181" s="73"/>
      <c r="AG181" s="73"/>
      <c r="AH181" s="73"/>
      <c r="AI181" s="68"/>
      <c r="AJ181" s="73"/>
      <c r="AK181" s="73"/>
      <c r="AL181" s="73"/>
      <c r="AM181" s="73"/>
      <c r="AN181" s="73"/>
      <c r="AO181" s="73"/>
      <c r="AP181" s="73"/>
      <c r="AQ181" s="73"/>
      <c r="AR181" s="73"/>
      <c r="AS181" s="73"/>
    </row>
    <row r="182" spans="2:45" x14ac:dyDescent="0.25">
      <c r="B182" s="73"/>
      <c r="AC182" s="73"/>
      <c r="AD182" s="73"/>
      <c r="AE182" s="73"/>
      <c r="AF182" s="73"/>
      <c r="AG182" s="73"/>
      <c r="AH182" s="73"/>
      <c r="AI182" s="68"/>
      <c r="AJ182" s="73"/>
      <c r="AK182" s="73"/>
      <c r="AL182" s="73"/>
      <c r="AM182" s="73"/>
      <c r="AN182" s="73"/>
      <c r="AO182" s="73"/>
      <c r="AP182" s="73"/>
      <c r="AQ182" s="73"/>
      <c r="AR182" s="73"/>
      <c r="AS182" s="73"/>
    </row>
    <row r="183" spans="2:45" x14ac:dyDescent="0.25">
      <c r="B183" s="73"/>
      <c r="AC183" s="73"/>
      <c r="AD183" s="73"/>
      <c r="AE183" s="73"/>
      <c r="AF183" s="73"/>
      <c r="AG183" s="73"/>
      <c r="AH183" s="73"/>
      <c r="AI183" s="68"/>
      <c r="AJ183" s="73"/>
      <c r="AK183" s="73"/>
      <c r="AL183" s="73"/>
      <c r="AM183" s="73"/>
      <c r="AN183" s="73"/>
      <c r="AO183" s="73"/>
      <c r="AP183" s="73"/>
      <c r="AQ183" s="73"/>
      <c r="AR183" s="73"/>
      <c r="AS183" s="73"/>
    </row>
    <row r="184" spans="2:45" x14ac:dyDescent="0.25">
      <c r="B184" s="73"/>
      <c r="AC184" s="73"/>
      <c r="AD184" s="73"/>
      <c r="AE184" s="73"/>
      <c r="AF184" s="73"/>
      <c r="AG184" s="73"/>
      <c r="AH184" s="73"/>
      <c r="AI184" s="68"/>
      <c r="AJ184" s="73"/>
      <c r="AK184" s="73"/>
      <c r="AL184" s="73"/>
      <c r="AM184" s="73"/>
      <c r="AN184" s="73"/>
      <c r="AO184" s="73"/>
      <c r="AP184" s="73"/>
      <c r="AQ184" s="73"/>
      <c r="AR184" s="73"/>
      <c r="AS184" s="73"/>
    </row>
    <row r="185" spans="2:45" x14ac:dyDescent="0.25">
      <c r="B185" s="73"/>
      <c r="AC185" s="73"/>
      <c r="AD185" s="73"/>
      <c r="AE185" s="73"/>
      <c r="AF185" s="73"/>
      <c r="AG185" s="73"/>
      <c r="AH185" s="73"/>
      <c r="AI185" s="68"/>
      <c r="AJ185" s="73"/>
      <c r="AK185" s="73"/>
      <c r="AL185" s="73"/>
      <c r="AM185" s="73"/>
      <c r="AN185" s="73"/>
      <c r="AO185" s="73"/>
      <c r="AP185" s="73"/>
      <c r="AQ185" s="73"/>
      <c r="AR185" s="73"/>
      <c r="AS185" s="73"/>
    </row>
    <row r="186" spans="2:45" x14ac:dyDescent="0.25">
      <c r="B186" s="73"/>
      <c r="AC186" s="73"/>
      <c r="AD186" s="73"/>
      <c r="AE186" s="73"/>
      <c r="AF186" s="73"/>
      <c r="AG186" s="73"/>
      <c r="AH186" s="73"/>
      <c r="AI186" s="68"/>
      <c r="AJ186" s="73"/>
      <c r="AK186" s="73"/>
      <c r="AL186" s="73"/>
      <c r="AM186" s="73"/>
      <c r="AN186" s="73"/>
      <c r="AO186" s="73"/>
      <c r="AP186" s="73"/>
      <c r="AQ186" s="73"/>
      <c r="AR186" s="73"/>
      <c r="AS186" s="73"/>
    </row>
    <row r="187" spans="2:45" x14ac:dyDescent="0.25">
      <c r="B187" s="73"/>
      <c r="AC187" s="73"/>
      <c r="AD187" s="73"/>
      <c r="AE187" s="73"/>
      <c r="AF187" s="73"/>
      <c r="AG187" s="73"/>
      <c r="AH187" s="73"/>
      <c r="AI187" s="68"/>
      <c r="AJ187" s="73"/>
      <c r="AK187" s="73"/>
      <c r="AL187" s="73"/>
      <c r="AM187" s="73"/>
      <c r="AN187" s="73"/>
      <c r="AO187" s="73"/>
      <c r="AP187" s="73"/>
      <c r="AQ187" s="73"/>
      <c r="AR187" s="73"/>
      <c r="AS187" s="73"/>
    </row>
    <row r="188" spans="2:45" x14ac:dyDescent="0.25">
      <c r="B188" s="73"/>
      <c r="AC188" s="73"/>
      <c r="AD188" s="73"/>
      <c r="AE188" s="73"/>
      <c r="AF188" s="73"/>
      <c r="AG188" s="73"/>
      <c r="AH188" s="73"/>
      <c r="AI188" s="68"/>
      <c r="AJ188" s="73"/>
      <c r="AK188" s="73"/>
      <c r="AL188" s="73"/>
      <c r="AM188" s="73"/>
      <c r="AN188" s="73"/>
      <c r="AO188" s="73"/>
      <c r="AP188" s="73"/>
      <c r="AQ188" s="73"/>
      <c r="AR188" s="73"/>
      <c r="AS188" s="73"/>
    </row>
    <row r="189" spans="2:45" x14ac:dyDescent="0.25">
      <c r="B189" s="73"/>
      <c r="AC189" s="73"/>
      <c r="AD189" s="73"/>
      <c r="AE189" s="73"/>
      <c r="AF189" s="73"/>
      <c r="AG189" s="73"/>
      <c r="AH189" s="73"/>
      <c r="AI189" s="68"/>
      <c r="AJ189" s="73"/>
      <c r="AK189" s="73"/>
      <c r="AL189" s="73"/>
      <c r="AM189" s="73"/>
      <c r="AN189" s="73"/>
      <c r="AO189" s="73"/>
      <c r="AP189" s="73"/>
      <c r="AQ189" s="73"/>
      <c r="AR189" s="73"/>
      <c r="AS189" s="73"/>
    </row>
    <row r="190" spans="2:45" x14ac:dyDescent="0.25">
      <c r="B190" s="73"/>
      <c r="AC190" s="73"/>
      <c r="AD190" s="73"/>
      <c r="AE190" s="73"/>
      <c r="AF190" s="73"/>
      <c r="AG190" s="73"/>
      <c r="AH190" s="73"/>
      <c r="AI190" s="68"/>
      <c r="AJ190" s="73"/>
      <c r="AK190" s="73"/>
      <c r="AL190" s="73"/>
      <c r="AM190" s="73"/>
      <c r="AN190" s="73"/>
      <c r="AO190" s="73"/>
      <c r="AP190" s="73"/>
      <c r="AQ190" s="73"/>
      <c r="AR190" s="73"/>
      <c r="AS190" s="73"/>
    </row>
    <row r="191" spans="2:45" x14ac:dyDescent="0.25">
      <c r="B191" s="73"/>
      <c r="AC191" s="73"/>
      <c r="AD191" s="73"/>
      <c r="AE191" s="73"/>
      <c r="AF191" s="73"/>
      <c r="AG191" s="73"/>
      <c r="AH191" s="73"/>
      <c r="AI191" s="68"/>
      <c r="AJ191" s="73"/>
      <c r="AK191" s="73"/>
      <c r="AL191" s="73"/>
      <c r="AM191" s="73"/>
      <c r="AN191" s="73"/>
      <c r="AO191" s="73"/>
      <c r="AP191" s="73"/>
      <c r="AQ191" s="73"/>
      <c r="AR191" s="73"/>
      <c r="AS191" s="73"/>
    </row>
    <row r="192" spans="2:45" x14ac:dyDescent="0.25">
      <c r="B192" s="73"/>
      <c r="AC192" s="73"/>
      <c r="AD192" s="73"/>
      <c r="AE192" s="73"/>
      <c r="AF192" s="73"/>
      <c r="AG192" s="73"/>
      <c r="AH192" s="73"/>
      <c r="AI192" s="68"/>
      <c r="AJ192" s="73"/>
      <c r="AK192" s="73"/>
      <c r="AL192" s="73"/>
      <c r="AM192" s="73"/>
      <c r="AN192" s="73"/>
      <c r="AO192" s="73"/>
      <c r="AP192" s="73"/>
      <c r="AQ192" s="73"/>
      <c r="AR192" s="73"/>
      <c r="AS192" s="73"/>
    </row>
    <row r="193" spans="2:45" x14ac:dyDescent="0.25">
      <c r="B193" s="73"/>
      <c r="AC193" s="73"/>
      <c r="AD193" s="73"/>
      <c r="AE193" s="73"/>
      <c r="AF193" s="73"/>
      <c r="AG193" s="73"/>
      <c r="AH193" s="73"/>
      <c r="AI193" s="68"/>
      <c r="AJ193" s="73"/>
      <c r="AK193" s="73"/>
      <c r="AL193" s="73"/>
      <c r="AM193" s="73"/>
      <c r="AN193" s="73"/>
      <c r="AO193" s="73"/>
      <c r="AP193" s="73"/>
      <c r="AQ193" s="73"/>
      <c r="AR193" s="73"/>
      <c r="AS193" s="73"/>
    </row>
    <row r="194" spans="2:45" x14ac:dyDescent="0.25">
      <c r="B194" s="73"/>
      <c r="AC194" s="73"/>
      <c r="AD194" s="73"/>
      <c r="AE194" s="73"/>
      <c r="AF194" s="73"/>
      <c r="AG194" s="73"/>
      <c r="AH194" s="73"/>
      <c r="AI194" s="68"/>
      <c r="AJ194" s="73"/>
      <c r="AK194" s="73"/>
      <c r="AL194" s="73"/>
      <c r="AM194" s="73"/>
      <c r="AN194" s="73"/>
      <c r="AO194" s="73"/>
      <c r="AP194" s="73"/>
      <c r="AQ194" s="73"/>
      <c r="AR194" s="73"/>
      <c r="AS194" s="73"/>
    </row>
    <row r="195" spans="2:45" x14ac:dyDescent="0.25">
      <c r="B195" s="73"/>
      <c r="AC195" s="73"/>
      <c r="AD195" s="73"/>
      <c r="AE195" s="73"/>
      <c r="AF195" s="73"/>
      <c r="AG195" s="73"/>
      <c r="AH195" s="73"/>
      <c r="AI195" s="68"/>
      <c r="AJ195" s="73"/>
      <c r="AK195" s="73"/>
      <c r="AL195" s="73"/>
      <c r="AM195" s="73"/>
      <c r="AN195" s="73"/>
      <c r="AO195" s="73"/>
      <c r="AP195" s="73"/>
      <c r="AQ195" s="73"/>
      <c r="AR195" s="73"/>
      <c r="AS195" s="73"/>
    </row>
    <row r="196" spans="2:45" x14ac:dyDescent="0.25">
      <c r="B196" s="73"/>
      <c r="AC196" s="73"/>
      <c r="AD196" s="73"/>
      <c r="AE196" s="73"/>
      <c r="AF196" s="73"/>
      <c r="AG196" s="73"/>
      <c r="AH196" s="73"/>
      <c r="AI196" s="68"/>
      <c r="AJ196" s="73"/>
      <c r="AK196" s="73"/>
      <c r="AL196" s="73"/>
      <c r="AM196" s="73"/>
      <c r="AN196" s="73"/>
      <c r="AO196" s="73"/>
      <c r="AP196" s="73"/>
      <c r="AQ196" s="73"/>
      <c r="AR196" s="73"/>
      <c r="AS196" s="73"/>
    </row>
    <row r="197" spans="2:45" x14ac:dyDescent="0.25">
      <c r="B197" s="73"/>
      <c r="AC197" s="73"/>
      <c r="AD197" s="73"/>
      <c r="AE197" s="73"/>
      <c r="AF197" s="73"/>
      <c r="AG197" s="73"/>
      <c r="AH197" s="73"/>
      <c r="AI197" s="68"/>
      <c r="AJ197" s="73"/>
      <c r="AK197" s="73"/>
      <c r="AL197" s="73"/>
      <c r="AM197" s="73"/>
      <c r="AN197" s="73"/>
      <c r="AO197" s="73"/>
      <c r="AP197" s="73"/>
      <c r="AQ197" s="73"/>
      <c r="AR197" s="73"/>
      <c r="AS197" s="73"/>
    </row>
    <row r="198" spans="2:45" x14ac:dyDescent="0.25">
      <c r="B198" s="73"/>
      <c r="AC198" s="73"/>
      <c r="AD198" s="73"/>
      <c r="AE198" s="73"/>
      <c r="AF198" s="73"/>
      <c r="AG198" s="73"/>
      <c r="AH198" s="73"/>
      <c r="AI198" s="68"/>
      <c r="AJ198" s="73"/>
      <c r="AK198" s="73"/>
      <c r="AL198" s="73"/>
      <c r="AM198" s="73"/>
      <c r="AN198" s="73"/>
      <c r="AO198" s="73"/>
      <c r="AP198" s="73"/>
      <c r="AQ198" s="73"/>
      <c r="AR198" s="73"/>
      <c r="AS198" s="73"/>
    </row>
    <row r="199" spans="2:45" x14ac:dyDescent="0.25">
      <c r="B199" s="73"/>
      <c r="AC199" s="73"/>
      <c r="AD199" s="73"/>
      <c r="AE199" s="73"/>
      <c r="AF199" s="73"/>
      <c r="AG199" s="73"/>
      <c r="AH199" s="73"/>
      <c r="AI199" s="68"/>
      <c r="AJ199" s="73"/>
      <c r="AK199" s="73"/>
      <c r="AL199" s="73"/>
      <c r="AM199" s="73"/>
      <c r="AN199" s="73"/>
      <c r="AO199" s="73"/>
      <c r="AP199" s="73"/>
      <c r="AQ199" s="73"/>
      <c r="AR199" s="73"/>
      <c r="AS199" s="73"/>
    </row>
    <row r="200" spans="2:45" x14ac:dyDescent="0.25">
      <c r="B200" s="73"/>
      <c r="AC200" s="73"/>
      <c r="AD200" s="73"/>
      <c r="AE200" s="73"/>
      <c r="AF200" s="73"/>
      <c r="AG200" s="73"/>
      <c r="AH200" s="73"/>
      <c r="AI200" s="68"/>
      <c r="AJ200" s="73"/>
      <c r="AK200" s="73"/>
      <c r="AL200" s="73"/>
      <c r="AM200" s="73"/>
      <c r="AN200" s="73"/>
      <c r="AO200" s="73"/>
      <c r="AP200" s="73"/>
      <c r="AQ200" s="73"/>
      <c r="AR200" s="73"/>
      <c r="AS200" s="73"/>
    </row>
    <row r="201" spans="2:45" x14ac:dyDescent="0.25">
      <c r="B201" s="73"/>
      <c r="AC201" s="73"/>
      <c r="AD201" s="73"/>
      <c r="AE201" s="73"/>
      <c r="AF201" s="73"/>
      <c r="AG201" s="73"/>
      <c r="AH201" s="73"/>
      <c r="AI201" s="68"/>
      <c r="AJ201" s="73"/>
      <c r="AK201" s="73"/>
      <c r="AL201" s="73"/>
      <c r="AM201" s="73"/>
      <c r="AN201" s="73"/>
      <c r="AO201" s="73"/>
      <c r="AP201" s="73"/>
      <c r="AQ201" s="73"/>
      <c r="AR201" s="73"/>
      <c r="AS201" s="73"/>
    </row>
    <row r="202" spans="2:45" x14ac:dyDescent="0.25">
      <c r="B202" s="73"/>
      <c r="AC202" s="73"/>
      <c r="AD202" s="73"/>
      <c r="AE202" s="73"/>
      <c r="AF202" s="73"/>
      <c r="AG202" s="73"/>
      <c r="AH202" s="73"/>
      <c r="AI202" s="68"/>
      <c r="AJ202" s="73"/>
      <c r="AK202" s="73"/>
      <c r="AL202" s="73"/>
      <c r="AM202" s="73"/>
      <c r="AN202" s="73"/>
      <c r="AO202" s="73"/>
      <c r="AP202" s="73"/>
      <c r="AQ202" s="73"/>
      <c r="AR202" s="73"/>
      <c r="AS202" s="73"/>
    </row>
    <row r="203" spans="2:45" x14ac:dyDescent="0.25">
      <c r="B203" s="73"/>
      <c r="AC203" s="73"/>
      <c r="AD203" s="73"/>
      <c r="AE203" s="73"/>
      <c r="AF203" s="73"/>
      <c r="AG203" s="73"/>
      <c r="AH203" s="73"/>
      <c r="AI203" s="68"/>
      <c r="AJ203" s="73"/>
      <c r="AK203" s="73"/>
      <c r="AL203" s="73"/>
      <c r="AM203" s="73"/>
      <c r="AN203" s="73"/>
      <c r="AO203" s="73"/>
      <c r="AP203" s="73"/>
      <c r="AQ203" s="73"/>
      <c r="AR203" s="73"/>
      <c r="AS203" s="73"/>
    </row>
    <row r="204" spans="2:45" x14ac:dyDescent="0.25">
      <c r="B204" s="73"/>
      <c r="AC204" s="73"/>
      <c r="AD204" s="73"/>
      <c r="AE204" s="73"/>
      <c r="AF204" s="73"/>
      <c r="AG204" s="73"/>
      <c r="AH204" s="73"/>
      <c r="AI204" s="68"/>
      <c r="AJ204" s="73"/>
      <c r="AK204" s="73"/>
      <c r="AL204" s="73"/>
      <c r="AM204" s="73"/>
      <c r="AN204" s="73"/>
      <c r="AO204" s="73"/>
      <c r="AP204" s="73"/>
      <c r="AQ204" s="73"/>
      <c r="AR204" s="73"/>
      <c r="AS204" s="73"/>
    </row>
    <row r="205" spans="2:45" x14ac:dyDescent="0.25">
      <c r="B205" s="73"/>
      <c r="AC205" s="73"/>
      <c r="AD205" s="73"/>
      <c r="AE205" s="73"/>
      <c r="AF205" s="73"/>
      <c r="AG205" s="73"/>
      <c r="AH205" s="73"/>
      <c r="AI205" s="68"/>
      <c r="AJ205" s="73"/>
      <c r="AK205" s="73"/>
      <c r="AL205" s="73"/>
      <c r="AM205" s="73"/>
      <c r="AN205" s="73"/>
      <c r="AO205" s="73"/>
      <c r="AP205" s="73"/>
      <c r="AQ205" s="73"/>
      <c r="AR205" s="73"/>
      <c r="AS205" s="73"/>
    </row>
    <row r="206" spans="2:45" x14ac:dyDescent="0.25">
      <c r="B206" s="73"/>
      <c r="AC206" s="73"/>
      <c r="AD206" s="73"/>
      <c r="AE206" s="73"/>
      <c r="AF206" s="73"/>
      <c r="AG206" s="73"/>
      <c r="AH206" s="73"/>
      <c r="AI206" s="68"/>
      <c r="AJ206" s="73"/>
      <c r="AK206" s="73"/>
      <c r="AL206" s="73"/>
      <c r="AM206" s="73"/>
      <c r="AN206" s="73"/>
      <c r="AO206" s="73"/>
      <c r="AP206" s="73"/>
      <c r="AQ206" s="73"/>
      <c r="AR206" s="73"/>
      <c r="AS206" s="73"/>
    </row>
    <row r="207" spans="2:45" x14ac:dyDescent="0.25">
      <c r="B207" s="73"/>
      <c r="AC207" s="73"/>
      <c r="AD207" s="73"/>
      <c r="AE207" s="73"/>
      <c r="AF207" s="73"/>
      <c r="AG207" s="73"/>
      <c r="AH207" s="73"/>
      <c r="AI207" s="68"/>
      <c r="AJ207" s="73"/>
      <c r="AK207" s="73"/>
      <c r="AL207" s="73"/>
      <c r="AM207" s="73"/>
      <c r="AN207" s="73"/>
      <c r="AO207" s="73"/>
      <c r="AP207" s="73"/>
      <c r="AQ207" s="73"/>
      <c r="AR207" s="73"/>
      <c r="AS207" s="73"/>
    </row>
    <row r="208" spans="2:45" x14ac:dyDescent="0.25">
      <c r="B208" s="73"/>
      <c r="AC208" s="73"/>
      <c r="AD208" s="73"/>
      <c r="AE208" s="73"/>
      <c r="AF208" s="73"/>
      <c r="AG208" s="73"/>
      <c r="AH208" s="73"/>
      <c r="AI208" s="68"/>
      <c r="AJ208" s="73"/>
      <c r="AK208" s="73"/>
      <c r="AL208" s="73"/>
      <c r="AM208" s="73"/>
      <c r="AN208" s="73"/>
      <c r="AO208" s="73"/>
      <c r="AP208" s="73"/>
      <c r="AQ208" s="73"/>
      <c r="AR208" s="73"/>
      <c r="AS208" s="73"/>
    </row>
    <row r="209" spans="2:45" x14ac:dyDescent="0.25">
      <c r="B209" s="73"/>
      <c r="AC209" s="73"/>
      <c r="AD209" s="73"/>
      <c r="AE209" s="73"/>
      <c r="AF209" s="73"/>
      <c r="AG209" s="73"/>
      <c r="AH209" s="73"/>
      <c r="AI209" s="68"/>
      <c r="AJ209" s="73"/>
      <c r="AK209" s="73"/>
      <c r="AL209" s="73"/>
      <c r="AM209" s="73"/>
      <c r="AN209" s="73"/>
      <c r="AO209" s="73"/>
      <c r="AP209" s="73"/>
      <c r="AQ209" s="73"/>
      <c r="AR209" s="73"/>
      <c r="AS209" s="73"/>
    </row>
    <row r="210" spans="2:45" x14ac:dyDescent="0.25">
      <c r="B210" s="73"/>
      <c r="AC210" s="73"/>
      <c r="AD210" s="73"/>
      <c r="AE210" s="73"/>
      <c r="AF210" s="73"/>
      <c r="AG210" s="73"/>
      <c r="AH210" s="73"/>
      <c r="AI210" s="68"/>
      <c r="AJ210" s="73"/>
      <c r="AK210" s="73"/>
      <c r="AL210" s="73"/>
      <c r="AM210" s="73"/>
      <c r="AN210" s="73"/>
      <c r="AO210" s="73"/>
      <c r="AP210" s="73"/>
      <c r="AQ210" s="73"/>
      <c r="AR210" s="73"/>
      <c r="AS210" s="73"/>
    </row>
    <row r="211" spans="2:45" x14ac:dyDescent="0.25">
      <c r="AK211" s="73"/>
      <c r="AL211" s="73"/>
      <c r="AM211" s="73"/>
      <c r="AN211" s="73"/>
      <c r="AO211" s="73"/>
      <c r="AP211" s="73"/>
      <c r="AQ211" s="73"/>
      <c r="AR211" s="73"/>
      <c r="AS211" s="73"/>
    </row>
    <row r="212" spans="2:45" x14ac:dyDescent="0.25">
      <c r="AK212" s="73"/>
      <c r="AL212" s="73"/>
      <c r="AM212" s="73"/>
      <c r="AN212" s="73"/>
      <c r="AO212" s="73"/>
      <c r="AP212" s="73"/>
      <c r="AQ212" s="73"/>
      <c r="AR212" s="73"/>
      <c r="AS212" s="73"/>
    </row>
    <row r="213" spans="2:45" x14ac:dyDescent="0.25">
      <c r="AK213" s="73"/>
      <c r="AL213" s="73"/>
      <c r="AM213" s="73"/>
      <c r="AN213" s="73"/>
      <c r="AO213" s="73"/>
      <c r="AP213" s="73"/>
      <c r="AQ213" s="73"/>
      <c r="AR213" s="73"/>
      <c r="AS213" s="73"/>
    </row>
    <row r="214" spans="2:45" x14ac:dyDescent="0.25">
      <c r="AK214" s="73"/>
      <c r="AL214" s="73"/>
      <c r="AM214" s="73"/>
      <c r="AN214" s="73"/>
      <c r="AO214" s="73"/>
      <c r="AP214" s="73"/>
      <c r="AQ214" s="73"/>
      <c r="AR214" s="73"/>
      <c r="AS214" s="73"/>
    </row>
    <row r="215" spans="2:45" x14ac:dyDescent="0.25">
      <c r="AK215" s="73"/>
      <c r="AL215" s="73"/>
      <c r="AM215" s="73"/>
      <c r="AN215" s="73"/>
      <c r="AO215" s="73"/>
      <c r="AP215" s="73"/>
      <c r="AQ215" s="73"/>
      <c r="AR215" s="73"/>
      <c r="AS215" s="73"/>
    </row>
    <row r="216" spans="2:45" x14ac:dyDescent="0.25">
      <c r="AK216" s="73"/>
      <c r="AL216" s="73"/>
      <c r="AM216" s="73"/>
      <c r="AN216" s="73"/>
      <c r="AO216" s="73"/>
      <c r="AP216" s="73"/>
      <c r="AQ216" s="73"/>
      <c r="AR216" s="73"/>
      <c r="AS216" s="73"/>
    </row>
    <row r="217" spans="2:45" x14ac:dyDescent="0.25">
      <c r="AK217" s="73"/>
      <c r="AL217" s="73"/>
      <c r="AM217" s="73"/>
      <c r="AN217" s="73"/>
      <c r="AO217" s="73"/>
      <c r="AP217" s="73"/>
      <c r="AQ217" s="73"/>
      <c r="AR217" s="73"/>
      <c r="AS217" s="73"/>
    </row>
    <row r="218" spans="2:45" x14ac:dyDescent="0.25">
      <c r="AK218" s="73"/>
      <c r="AL218" s="73"/>
      <c r="AM218" s="73"/>
      <c r="AN218" s="73"/>
      <c r="AO218" s="73"/>
      <c r="AP218" s="73"/>
      <c r="AQ218" s="73"/>
      <c r="AR218" s="73"/>
      <c r="AS218" s="73"/>
    </row>
    <row r="219" spans="2:45" x14ac:dyDescent="0.25">
      <c r="AK219" s="73"/>
      <c r="AL219" s="73"/>
      <c r="AM219" s="73"/>
      <c r="AN219" s="73"/>
      <c r="AO219" s="73"/>
      <c r="AP219" s="73"/>
      <c r="AQ219" s="73"/>
      <c r="AR219" s="73"/>
      <c r="AS219" s="73"/>
    </row>
    <row r="220" spans="2:45" x14ac:dyDescent="0.25">
      <c r="AK220" s="73"/>
      <c r="AL220" s="73"/>
      <c r="AM220" s="73"/>
      <c r="AN220" s="73"/>
      <c r="AO220" s="73"/>
      <c r="AP220" s="73"/>
      <c r="AQ220" s="73"/>
      <c r="AR220" s="73"/>
      <c r="AS220" s="73"/>
    </row>
    <row r="221" spans="2:45" x14ac:dyDescent="0.25">
      <c r="AK221" s="73"/>
      <c r="AL221" s="73"/>
      <c r="AM221" s="73"/>
      <c r="AN221" s="73"/>
      <c r="AO221" s="73"/>
      <c r="AP221" s="73"/>
      <c r="AQ221" s="73"/>
      <c r="AR221" s="73"/>
      <c r="AS221" s="73"/>
    </row>
    <row r="222" spans="2:45" x14ac:dyDescent="0.25">
      <c r="AK222" s="73"/>
      <c r="AL222" s="73"/>
      <c r="AM222" s="73"/>
      <c r="AN222" s="73"/>
      <c r="AO222" s="73"/>
      <c r="AP222" s="73"/>
      <c r="AQ222" s="73"/>
      <c r="AR222" s="73"/>
      <c r="AS222" s="73"/>
    </row>
    <row r="223" spans="2:45" x14ac:dyDescent="0.25">
      <c r="AK223" s="73"/>
      <c r="AL223" s="73"/>
      <c r="AM223" s="73"/>
      <c r="AN223" s="73"/>
      <c r="AO223" s="73"/>
      <c r="AP223" s="73"/>
      <c r="AQ223" s="73"/>
      <c r="AR223" s="73"/>
      <c r="AS223" s="73"/>
    </row>
    <row r="224" spans="2:45" x14ac:dyDescent="0.25">
      <c r="AK224" s="73"/>
      <c r="AL224" s="73"/>
      <c r="AM224" s="73"/>
      <c r="AN224" s="73"/>
      <c r="AO224" s="73"/>
      <c r="AP224" s="73"/>
      <c r="AQ224" s="73"/>
      <c r="AR224" s="73"/>
      <c r="AS224" s="73"/>
    </row>
    <row r="225" spans="37:45" x14ac:dyDescent="0.25">
      <c r="AK225" s="73"/>
      <c r="AL225" s="73"/>
      <c r="AM225" s="73"/>
      <c r="AN225" s="73"/>
      <c r="AO225" s="73"/>
      <c r="AP225" s="73"/>
      <c r="AQ225" s="73"/>
      <c r="AR225" s="73"/>
      <c r="AS225" s="73"/>
    </row>
    <row r="226" spans="37:45" x14ac:dyDescent="0.25">
      <c r="AK226" s="73"/>
      <c r="AL226" s="73"/>
      <c r="AM226" s="73"/>
      <c r="AN226" s="73"/>
      <c r="AO226" s="73"/>
      <c r="AP226" s="73"/>
      <c r="AQ226" s="73"/>
      <c r="AR226" s="73"/>
      <c r="AS226" s="73"/>
    </row>
    <row r="227" spans="37:45" x14ac:dyDescent="0.25">
      <c r="AK227" s="73"/>
      <c r="AL227" s="73"/>
      <c r="AM227" s="73"/>
      <c r="AN227" s="73"/>
      <c r="AO227" s="73"/>
      <c r="AP227" s="73"/>
      <c r="AQ227" s="73"/>
      <c r="AR227" s="73"/>
      <c r="AS227" s="73"/>
    </row>
    <row r="228" spans="37:45" x14ac:dyDescent="0.25">
      <c r="AK228" s="73"/>
      <c r="AL228" s="73"/>
      <c r="AM228" s="73"/>
      <c r="AN228" s="73"/>
      <c r="AO228" s="73"/>
      <c r="AP228" s="73"/>
      <c r="AQ228" s="73"/>
      <c r="AR228" s="73"/>
      <c r="AS228" s="73"/>
    </row>
    <row r="229" spans="37:45" x14ac:dyDescent="0.25">
      <c r="AK229" s="73"/>
      <c r="AL229" s="73"/>
      <c r="AM229" s="73"/>
      <c r="AN229" s="73"/>
      <c r="AO229" s="73"/>
      <c r="AP229" s="73"/>
      <c r="AQ229" s="73"/>
      <c r="AR229" s="73"/>
      <c r="AS229" s="73"/>
    </row>
    <row r="230" spans="37:45" x14ac:dyDescent="0.25">
      <c r="AK230" s="73"/>
      <c r="AL230" s="73"/>
      <c r="AM230" s="73"/>
      <c r="AN230" s="73"/>
      <c r="AO230" s="73"/>
      <c r="AP230" s="73"/>
      <c r="AQ230" s="73"/>
      <c r="AR230" s="73"/>
      <c r="AS230" s="73"/>
    </row>
    <row r="231" spans="37:45" x14ac:dyDescent="0.25">
      <c r="AK231" s="73"/>
      <c r="AL231" s="73"/>
      <c r="AM231" s="73"/>
      <c r="AN231" s="73"/>
      <c r="AO231" s="73"/>
      <c r="AP231" s="73"/>
      <c r="AQ231" s="73"/>
      <c r="AR231" s="73"/>
      <c r="AS231" s="73"/>
    </row>
    <row r="232" spans="37:45" x14ac:dyDescent="0.25">
      <c r="AK232" s="73"/>
      <c r="AL232" s="73"/>
      <c r="AM232" s="73"/>
      <c r="AN232" s="73"/>
      <c r="AO232" s="73"/>
      <c r="AP232" s="73"/>
      <c r="AQ232" s="73"/>
      <c r="AR232" s="73"/>
      <c r="AS232" s="73"/>
    </row>
    <row r="233" spans="37:45" x14ac:dyDescent="0.25">
      <c r="AK233" s="73"/>
      <c r="AL233" s="73"/>
      <c r="AM233" s="73"/>
      <c r="AN233" s="73"/>
      <c r="AO233" s="73"/>
      <c r="AP233" s="73"/>
      <c r="AQ233" s="73"/>
      <c r="AR233" s="73"/>
      <c r="AS233" s="73"/>
    </row>
    <row r="234" spans="37:45" x14ac:dyDescent="0.25">
      <c r="AK234" s="73"/>
      <c r="AL234" s="73"/>
      <c r="AM234" s="73"/>
      <c r="AN234" s="73"/>
      <c r="AO234" s="73"/>
      <c r="AP234" s="73"/>
      <c r="AQ234" s="73"/>
      <c r="AR234" s="73"/>
      <c r="AS234" s="73"/>
    </row>
    <row r="235" spans="37:45" x14ac:dyDescent="0.25">
      <c r="AK235" s="73"/>
      <c r="AL235" s="73"/>
      <c r="AM235" s="73"/>
      <c r="AN235" s="73"/>
      <c r="AO235" s="73"/>
      <c r="AP235" s="73"/>
      <c r="AQ235" s="73"/>
      <c r="AR235" s="73"/>
      <c r="AS235" s="73"/>
    </row>
    <row r="236" spans="37:45" x14ac:dyDescent="0.25">
      <c r="AK236" s="73"/>
      <c r="AL236" s="73"/>
      <c r="AM236" s="73"/>
      <c r="AN236" s="73"/>
      <c r="AO236" s="73"/>
      <c r="AP236" s="73"/>
      <c r="AQ236" s="73"/>
      <c r="AR236" s="73"/>
      <c r="AS236" s="73"/>
    </row>
    <row r="237" spans="37:45" x14ac:dyDescent="0.25">
      <c r="AK237" s="73"/>
      <c r="AL237" s="73"/>
      <c r="AM237" s="73"/>
      <c r="AN237" s="73"/>
      <c r="AO237" s="73"/>
      <c r="AP237" s="73"/>
      <c r="AQ237" s="73"/>
      <c r="AR237" s="73"/>
      <c r="AS237" s="73"/>
    </row>
    <row r="238" spans="37:45" x14ac:dyDescent="0.25">
      <c r="AK238" s="73"/>
      <c r="AL238" s="73"/>
      <c r="AM238" s="73"/>
      <c r="AN238" s="73"/>
      <c r="AO238" s="73"/>
      <c r="AP238" s="73"/>
      <c r="AQ238" s="73"/>
      <c r="AR238" s="73"/>
      <c r="AS238" s="73"/>
    </row>
    <row r="239" spans="37:45" x14ac:dyDescent="0.25">
      <c r="AK239" s="73"/>
      <c r="AL239" s="73"/>
      <c r="AM239" s="73"/>
      <c r="AN239" s="73"/>
      <c r="AO239" s="73"/>
      <c r="AP239" s="73"/>
      <c r="AQ239" s="73"/>
      <c r="AR239" s="73"/>
      <c r="AS239" s="73"/>
    </row>
    <row r="240" spans="37:45" x14ac:dyDescent="0.25">
      <c r="AK240" s="73"/>
      <c r="AL240" s="73"/>
      <c r="AM240" s="73"/>
      <c r="AN240" s="73"/>
      <c r="AO240" s="73"/>
      <c r="AP240" s="73"/>
      <c r="AQ240" s="73"/>
      <c r="AR240" s="73"/>
      <c r="AS240" s="73"/>
    </row>
    <row r="241" spans="37:45" x14ac:dyDescent="0.25">
      <c r="AK241" s="73"/>
      <c r="AL241" s="73"/>
      <c r="AM241" s="73"/>
      <c r="AN241" s="73"/>
      <c r="AO241" s="73"/>
      <c r="AP241" s="73"/>
      <c r="AQ241" s="73"/>
      <c r="AR241" s="73"/>
      <c r="AS241" s="73"/>
    </row>
    <row r="242" spans="37:45" x14ac:dyDescent="0.25">
      <c r="AK242" s="73"/>
      <c r="AL242" s="73"/>
      <c r="AM242" s="73"/>
      <c r="AN242" s="73"/>
      <c r="AO242" s="73"/>
      <c r="AP242" s="73"/>
      <c r="AQ242" s="73"/>
      <c r="AR242" s="73"/>
      <c r="AS242" s="73"/>
    </row>
    <row r="243" spans="37:45" x14ac:dyDescent="0.25">
      <c r="AK243" s="73"/>
      <c r="AL243" s="73"/>
      <c r="AM243" s="73"/>
      <c r="AN243" s="73"/>
      <c r="AO243" s="73"/>
      <c r="AP243" s="73"/>
      <c r="AQ243" s="73"/>
      <c r="AR243" s="73"/>
      <c r="AS243" s="73"/>
    </row>
    <row r="244" spans="37:45" x14ac:dyDescent="0.25">
      <c r="AK244" s="73"/>
      <c r="AL244" s="73"/>
      <c r="AM244" s="73"/>
      <c r="AN244" s="73"/>
      <c r="AO244" s="73"/>
      <c r="AP244" s="73"/>
      <c r="AQ244" s="73"/>
      <c r="AR244" s="73"/>
      <c r="AS244" s="73"/>
    </row>
    <row r="245" spans="37:45" x14ac:dyDescent="0.25">
      <c r="AK245" s="73"/>
      <c r="AL245" s="73"/>
      <c r="AM245" s="73"/>
      <c r="AN245" s="73"/>
      <c r="AO245" s="73"/>
      <c r="AP245" s="73"/>
      <c r="AQ245" s="73"/>
      <c r="AR245" s="73"/>
      <c r="AS245" s="73"/>
    </row>
    <row r="246" spans="37:45" x14ac:dyDescent="0.25">
      <c r="AK246" s="73"/>
      <c r="AL246" s="73"/>
      <c r="AM246" s="73"/>
      <c r="AN246" s="73"/>
      <c r="AO246" s="73"/>
      <c r="AP246" s="73"/>
      <c r="AQ246" s="73"/>
      <c r="AR246" s="73"/>
      <c r="AS246" s="73"/>
    </row>
    <row r="247" spans="37:45" x14ac:dyDescent="0.25">
      <c r="AK247" s="73"/>
      <c r="AL247" s="73"/>
      <c r="AM247" s="73"/>
      <c r="AN247" s="73"/>
      <c r="AO247" s="73"/>
      <c r="AP247" s="73"/>
      <c r="AQ247" s="73"/>
      <c r="AR247" s="73"/>
      <c r="AS247" s="73"/>
    </row>
    <row r="248" spans="37:45" x14ac:dyDescent="0.25">
      <c r="AK248" s="73"/>
      <c r="AL248" s="73"/>
      <c r="AM248" s="73"/>
      <c r="AN248" s="73"/>
      <c r="AO248" s="73"/>
      <c r="AP248" s="73"/>
      <c r="AQ248" s="73"/>
      <c r="AR248" s="73"/>
      <c r="AS248" s="73"/>
    </row>
    <row r="249" spans="37:45" x14ac:dyDescent="0.25">
      <c r="AK249" s="73"/>
      <c r="AL249" s="73"/>
      <c r="AM249" s="73"/>
      <c r="AN249" s="73"/>
      <c r="AO249" s="73"/>
      <c r="AP249" s="73"/>
      <c r="AQ249" s="73"/>
      <c r="AR249" s="73"/>
      <c r="AS249" s="73"/>
    </row>
    <row r="250" spans="37:45" x14ac:dyDescent="0.25">
      <c r="AK250" s="73"/>
      <c r="AL250" s="73"/>
      <c r="AM250" s="73"/>
      <c r="AN250" s="73"/>
      <c r="AO250" s="73"/>
      <c r="AP250" s="73"/>
      <c r="AQ250" s="73"/>
      <c r="AR250" s="73"/>
      <c r="AS250" s="73"/>
    </row>
    <row r="251" spans="37:45" x14ac:dyDescent="0.25">
      <c r="AK251" s="73"/>
      <c r="AL251" s="73"/>
      <c r="AM251" s="73"/>
      <c r="AN251" s="73"/>
      <c r="AO251" s="73"/>
      <c r="AP251" s="73"/>
      <c r="AQ251" s="73"/>
      <c r="AR251" s="73"/>
      <c r="AS251" s="73"/>
    </row>
    <row r="252" spans="37:45" x14ac:dyDescent="0.25">
      <c r="AK252" s="73"/>
      <c r="AL252" s="73"/>
      <c r="AM252" s="73"/>
      <c r="AN252" s="73"/>
      <c r="AO252" s="73"/>
      <c r="AP252" s="73"/>
      <c r="AQ252" s="73"/>
      <c r="AR252" s="73"/>
      <c r="AS252" s="73"/>
    </row>
    <row r="253" spans="37:45" x14ac:dyDescent="0.25">
      <c r="AK253" s="73"/>
      <c r="AL253" s="73"/>
      <c r="AM253" s="73"/>
      <c r="AN253" s="73"/>
      <c r="AO253" s="73"/>
      <c r="AP253" s="73"/>
      <c r="AQ253" s="73"/>
      <c r="AR253" s="73"/>
      <c r="AS253" s="73"/>
    </row>
    <row r="254" spans="37:45" x14ac:dyDescent="0.25">
      <c r="AK254" s="73"/>
      <c r="AL254" s="73"/>
      <c r="AM254" s="73"/>
      <c r="AN254" s="73"/>
      <c r="AO254" s="73"/>
      <c r="AP254" s="73"/>
      <c r="AQ254" s="73"/>
      <c r="AR254" s="73"/>
      <c r="AS254" s="73"/>
    </row>
    <row r="255" spans="37:45" x14ac:dyDescent="0.25">
      <c r="AK255" s="73"/>
      <c r="AL255" s="73"/>
      <c r="AM255" s="73"/>
      <c r="AN255" s="73"/>
      <c r="AO255" s="73"/>
      <c r="AP255" s="73"/>
      <c r="AQ255" s="73"/>
      <c r="AR255" s="73"/>
      <c r="AS255" s="73"/>
    </row>
    <row r="256" spans="37:45" x14ac:dyDescent="0.25">
      <c r="AK256" s="73"/>
      <c r="AL256" s="73"/>
      <c r="AM256" s="73"/>
      <c r="AN256" s="73"/>
      <c r="AO256" s="73"/>
      <c r="AP256" s="73"/>
      <c r="AQ256" s="73"/>
      <c r="AR256" s="73"/>
      <c r="AS256" s="73"/>
    </row>
    <row r="257" spans="37:45" x14ac:dyDescent="0.25">
      <c r="AK257" s="73"/>
      <c r="AL257" s="73"/>
      <c r="AM257" s="73"/>
      <c r="AN257" s="73"/>
      <c r="AO257" s="73"/>
      <c r="AP257" s="73"/>
      <c r="AQ257" s="73"/>
      <c r="AR257" s="73"/>
      <c r="AS257" s="73"/>
    </row>
    <row r="258" spans="37:45" x14ac:dyDescent="0.25">
      <c r="AK258" s="73"/>
      <c r="AL258" s="73"/>
      <c r="AM258" s="73"/>
      <c r="AN258" s="73"/>
      <c r="AO258" s="73"/>
      <c r="AP258" s="73"/>
      <c r="AQ258" s="73"/>
      <c r="AR258" s="73"/>
      <c r="AS258" s="73"/>
    </row>
    <row r="259" spans="37:45" x14ac:dyDescent="0.25">
      <c r="AK259" s="73"/>
      <c r="AL259" s="73"/>
      <c r="AM259" s="73"/>
      <c r="AN259" s="73"/>
      <c r="AO259" s="73"/>
      <c r="AP259" s="73"/>
      <c r="AQ259" s="73"/>
      <c r="AR259" s="73"/>
      <c r="AS259" s="73"/>
    </row>
    <row r="260" spans="37:45" x14ac:dyDescent="0.25">
      <c r="AK260" s="73"/>
      <c r="AL260" s="73"/>
      <c r="AM260" s="73"/>
      <c r="AN260" s="73"/>
      <c r="AO260" s="73"/>
      <c r="AP260" s="73"/>
      <c r="AQ260" s="73"/>
      <c r="AR260" s="73"/>
      <c r="AS260" s="73"/>
    </row>
    <row r="261" spans="37:45" x14ac:dyDescent="0.25">
      <c r="AK261" s="73"/>
      <c r="AL261" s="73"/>
      <c r="AM261" s="73"/>
      <c r="AN261" s="73"/>
      <c r="AO261" s="73"/>
      <c r="AP261" s="73"/>
      <c r="AQ261" s="73"/>
      <c r="AR261" s="73"/>
      <c r="AS261" s="73"/>
    </row>
    <row r="262" spans="37:45" x14ac:dyDescent="0.25">
      <c r="AK262" s="73"/>
      <c r="AL262" s="73"/>
      <c r="AM262" s="73"/>
      <c r="AN262" s="73"/>
      <c r="AO262" s="73"/>
      <c r="AP262" s="73"/>
      <c r="AQ262" s="73"/>
      <c r="AR262" s="73"/>
      <c r="AS262" s="73"/>
    </row>
    <row r="263" spans="37:45" x14ac:dyDescent="0.25">
      <c r="AK263" s="73"/>
      <c r="AL263" s="73"/>
      <c r="AM263" s="73"/>
      <c r="AN263" s="73"/>
      <c r="AO263" s="73"/>
      <c r="AP263" s="73"/>
      <c r="AQ263" s="73"/>
      <c r="AR263" s="73"/>
      <c r="AS263" s="73"/>
    </row>
    <row r="264" spans="37:45" x14ac:dyDescent="0.25">
      <c r="AK264" s="73"/>
      <c r="AL264" s="73"/>
      <c r="AM264" s="73"/>
      <c r="AN264" s="73"/>
      <c r="AO264" s="73"/>
      <c r="AP264" s="73"/>
      <c r="AQ264" s="73"/>
      <c r="AR264" s="73"/>
      <c r="AS264" s="73"/>
    </row>
    <row r="265" spans="37:45" x14ac:dyDescent="0.25">
      <c r="AK265" s="73"/>
      <c r="AL265" s="73"/>
      <c r="AM265" s="73"/>
      <c r="AN265" s="73"/>
      <c r="AO265" s="73"/>
      <c r="AP265" s="73"/>
      <c r="AQ265" s="73"/>
      <c r="AR265" s="73"/>
      <c r="AS265" s="73"/>
    </row>
    <row r="266" spans="37:45" x14ac:dyDescent="0.25">
      <c r="AK266" s="73"/>
      <c r="AL266" s="73"/>
      <c r="AM266" s="73"/>
      <c r="AN266" s="73"/>
      <c r="AO266" s="73"/>
      <c r="AP266" s="73"/>
      <c r="AQ266" s="73"/>
      <c r="AR266" s="73"/>
      <c r="AS266" s="73"/>
    </row>
    <row r="267" spans="37:45" x14ac:dyDescent="0.25">
      <c r="AK267" s="73"/>
      <c r="AL267" s="73"/>
      <c r="AM267" s="73"/>
      <c r="AN267" s="73"/>
      <c r="AO267" s="73"/>
      <c r="AP267" s="73"/>
      <c r="AQ267" s="73"/>
      <c r="AR267" s="73"/>
      <c r="AS267" s="73"/>
    </row>
    <row r="268" spans="37:45" x14ac:dyDescent="0.25">
      <c r="AK268" s="73"/>
      <c r="AL268" s="73"/>
      <c r="AM268" s="73"/>
      <c r="AN268" s="73"/>
      <c r="AO268" s="73"/>
      <c r="AP268" s="73"/>
      <c r="AQ268" s="73"/>
      <c r="AR268" s="73"/>
      <c r="AS268" s="73"/>
    </row>
    <row r="269" spans="37:45" x14ac:dyDescent="0.25">
      <c r="AK269" s="73"/>
      <c r="AL269" s="73"/>
      <c r="AM269" s="73"/>
      <c r="AN269" s="73"/>
      <c r="AO269" s="73"/>
      <c r="AP269" s="73"/>
      <c r="AQ269" s="73"/>
      <c r="AR269" s="73"/>
      <c r="AS269" s="73"/>
    </row>
    <row r="270" spans="37:45" x14ac:dyDescent="0.25">
      <c r="AK270" s="73"/>
      <c r="AL270" s="73"/>
      <c r="AM270" s="73"/>
      <c r="AN270" s="73"/>
      <c r="AO270" s="73"/>
      <c r="AP270" s="73"/>
      <c r="AQ270" s="73"/>
      <c r="AR270" s="73"/>
      <c r="AS270" s="73"/>
    </row>
    <row r="271" spans="37:45" x14ac:dyDescent="0.25">
      <c r="AK271" s="73"/>
      <c r="AL271" s="73"/>
      <c r="AM271" s="73"/>
      <c r="AN271" s="73"/>
      <c r="AO271" s="73"/>
      <c r="AP271" s="73"/>
      <c r="AQ271" s="73"/>
      <c r="AR271" s="73"/>
      <c r="AS271" s="73"/>
    </row>
    <row r="272" spans="37:45" x14ac:dyDescent="0.25">
      <c r="AK272" s="73"/>
      <c r="AL272" s="73"/>
      <c r="AM272" s="73"/>
      <c r="AN272" s="73"/>
      <c r="AO272" s="73"/>
      <c r="AP272" s="73"/>
      <c r="AQ272" s="73"/>
      <c r="AR272" s="73"/>
      <c r="AS272" s="73"/>
    </row>
    <row r="273" spans="37:45" x14ac:dyDescent="0.25">
      <c r="AK273" s="73"/>
      <c r="AL273" s="73"/>
      <c r="AM273" s="73"/>
      <c r="AN273" s="73"/>
      <c r="AO273" s="73"/>
      <c r="AP273" s="73"/>
      <c r="AQ273" s="73"/>
      <c r="AR273" s="73"/>
      <c r="AS273" s="73"/>
    </row>
    <row r="274" spans="37:45" x14ac:dyDescent="0.25">
      <c r="AK274" s="73"/>
      <c r="AL274" s="73"/>
      <c r="AM274" s="73"/>
      <c r="AN274" s="73"/>
      <c r="AO274" s="73"/>
      <c r="AP274" s="73"/>
      <c r="AQ274" s="73"/>
      <c r="AR274" s="73"/>
      <c r="AS274" s="73"/>
    </row>
    <row r="275" spans="37:45" x14ac:dyDescent="0.25">
      <c r="AK275" s="73"/>
      <c r="AL275" s="73"/>
      <c r="AM275" s="73"/>
      <c r="AN275" s="73"/>
      <c r="AO275" s="73"/>
      <c r="AP275" s="73"/>
      <c r="AQ275" s="73"/>
      <c r="AR275" s="73"/>
      <c r="AS275" s="73"/>
    </row>
    <row r="276" spans="37:45" x14ac:dyDescent="0.25">
      <c r="AK276" s="73"/>
      <c r="AL276" s="73"/>
      <c r="AM276" s="73"/>
      <c r="AN276" s="73"/>
      <c r="AO276" s="73"/>
      <c r="AP276" s="73"/>
      <c r="AQ276" s="73"/>
      <c r="AR276" s="73"/>
      <c r="AS276" s="73"/>
    </row>
    <row r="277" spans="37:45" x14ac:dyDescent="0.25">
      <c r="AK277" s="73"/>
      <c r="AL277" s="73"/>
      <c r="AM277" s="73"/>
      <c r="AN277" s="73"/>
      <c r="AO277" s="73"/>
      <c r="AP277" s="73"/>
      <c r="AQ277" s="73"/>
      <c r="AR277" s="73"/>
      <c r="AS277" s="73"/>
    </row>
    <row r="278" spans="37:45" x14ac:dyDescent="0.25">
      <c r="AK278" s="73"/>
      <c r="AL278" s="73"/>
      <c r="AM278" s="73"/>
      <c r="AN278" s="73"/>
      <c r="AO278" s="73"/>
      <c r="AP278" s="73"/>
      <c r="AQ278" s="73"/>
      <c r="AR278" s="73"/>
      <c r="AS278" s="73"/>
    </row>
    <row r="279" spans="37:45" x14ac:dyDescent="0.25">
      <c r="AK279" s="73"/>
      <c r="AL279" s="73"/>
      <c r="AM279" s="73"/>
      <c r="AN279" s="73"/>
      <c r="AO279" s="73"/>
      <c r="AP279" s="73"/>
      <c r="AQ279" s="73"/>
      <c r="AR279" s="73"/>
      <c r="AS279" s="73"/>
    </row>
    <row r="280" spans="37:45" x14ac:dyDescent="0.25">
      <c r="AK280" s="73"/>
      <c r="AL280" s="73"/>
      <c r="AM280" s="73"/>
      <c r="AN280" s="73"/>
      <c r="AO280" s="73"/>
      <c r="AP280" s="73"/>
      <c r="AQ280" s="73"/>
      <c r="AR280" s="73"/>
      <c r="AS280" s="73"/>
    </row>
    <row r="281" spans="37:45" x14ac:dyDescent="0.25">
      <c r="AK281" s="73"/>
      <c r="AL281" s="73"/>
      <c r="AM281" s="73"/>
      <c r="AN281" s="73"/>
      <c r="AO281" s="73"/>
      <c r="AP281" s="73"/>
      <c r="AQ281" s="73"/>
      <c r="AR281" s="73"/>
      <c r="AS281" s="73"/>
    </row>
    <row r="282" spans="37:45" x14ac:dyDescent="0.25">
      <c r="AK282" s="73"/>
      <c r="AL282" s="73"/>
      <c r="AM282" s="73"/>
      <c r="AN282" s="73"/>
      <c r="AO282" s="73"/>
      <c r="AP282" s="73"/>
      <c r="AQ282" s="73"/>
      <c r="AR282" s="73"/>
      <c r="AS282" s="73"/>
    </row>
    <row r="283" spans="37:45" x14ac:dyDescent="0.25">
      <c r="AK283" s="73"/>
      <c r="AL283" s="73"/>
      <c r="AM283" s="73"/>
      <c r="AN283" s="73"/>
      <c r="AO283" s="73"/>
      <c r="AP283" s="73"/>
      <c r="AQ283" s="73"/>
      <c r="AR283" s="73"/>
      <c r="AS283" s="73"/>
    </row>
    <row r="284" spans="37:45" x14ac:dyDescent="0.25">
      <c r="AK284" s="73"/>
      <c r="AL284" s="73"/>
      <c r="AM284" s="73"/>
      <c r="AN284" s="73"/>
      <c r="AO284" s="73"/>
      <c r="AP284" s="73"/>
      <c r="AQ284" s="73"/>
      <c r="AR284" s="73"/>
      <c r="AS284" s="73"/>
    </row>
    <row r="285" spans="37:45" x14ac:dyDescent="0.25">
      <c r="AK285" s="73"/>
      <c r="AL285" s="73"/>
      <c r="AM285" s="73"/>
      <c r="AN285" s="73"/>
      <c r="AO285" s="73"/>
      <c r="AP285" s="73"/>
      <c r="AQ285" s="73"/>
      <c r="AR285" s="73"/>
      <c r="AS285" s="73"/>
    </row>
    <row r="286" spans="37:45" x14ac:dyDescent="0.25">
      <c r="AK286" s="73"/>
      <c r="AL286" s="73"/>
      <c r="AM286" s="73"/>
      <c r="AN286" s="73"/>
      <c r="AO286" s="73"/>
      <c r="AP286" s="73"/>
      <c r="AQ286" s="73"/>
      <c r="AR286" s="73"/>
      <c r="AS286" s="73"/>
    </row>
    <row r="287" spans="37:45" x14ac:dyDescent="0.25">
      <c r="AK287" s="73"/>
      <c r="AL287" s="73"/>
      <c r="AM287" s="73"/>
      <c r="AN287" s="73"/>
      <c r="AO287" s="73"/>
      <c r="AP287" s="73"/>
      <c r="AQ287" s="73"/>
      <c r="AR287" s="73"/>
      <c r="AS287" s="73"/>
    </row>
    <row r="288" spans="37:45" x14ac:dyDescent="0.25">
      <c r="AK288" s="73"/>
      <c r="AL288" s="73"/>
      <c r="AM288" s="73"/>
      <c r="AN288" s="73"/>
      <c r="AO288" s="73"/>
      <c r="AP288" s="73"/>
      <c r="AQ288" s="73"/>
      <c r="AR288" s="73"/>
      <c r="AS288" s="73"/>
    </row>
    <row r="289" spans="37:45" x14ac:dyDescent="0.25">
      <c r="AK289" s="73"/>
      <c r="AL289" s="73"/>
      <c r="AM289" s="73"/>
      <c r="AN289" s="73"/>
      <c r="AO289" s="73"/>
      <c r="AP289" s="73"/>
      <c r="AQ289" s="73"/>
      <c r="AR289" s="73"/>
      <c r="AS289" s="73"/>
    </row>
    <row r="290" spans="37:45" x14ac:dyDescent="0.25">
      <c r="AK290" s="73"/>
      <c r="AL290" s="73"/>
      <c r="AM290" s="73"/>
      <c r="AN290" s="73"/>
      <c r="AO290" s="73"/>
      <c r="AP290" s="73"/>
      <c r="AQ290" s="73"/>
      <c r="AR290" s="73"/>
      <c r="AS290" s="73"/>
    </row>
    <row r="291" spans="37:45" x14ac:dyDescent="0.25">
      <c r="AK291" s="73"/>
      <c r="AL291" s="73"/>
      <c r="AM291" s="73"/>
      <c r="AN291" s="73"/>
      <c r="AO291" s="73"/>
      <c r="AP291" s="73"/>
      <c r="AQ291" s="73"/>
      <c r="AR291" s="73"/>
      <c r="AS291" s="73"/>
    </row>
    <row r="292" spans="37:45" x14ac:dyDescent="0.25">
      <c r="AK292" s="73"/>
      <c r="AL292" s="73"/>
      <c r="AM292" s="73"/>
      <c r="AN292" s="73"/>
      <c r="AO292" s="73"/>
      <c r="AP292" s="73"/>
      <c r="AQ292" s="73"/>
      <c r="AR292" s="73"/>
      <c r="AS292" s="73"/>
    </row>
    <row r="293" spans="37:45" x14ac:dyDescent="0.25">
      <c r="AK293" s="73"/>
      <c r="AL293" s="73"/>
      <c r="AM293" s="73"/>
      <c r="AN293" s="73"/>
      <c r="AO293" s="73"/>
      <c r="AP293" s="73"/>
      <c r="AQ293" s="73"/>
      <c r="AR293" s="73"/>
      <c r="AS293" s="73"/>
    </row>
    <row r="294" spans="37:45" x14ac:dyDescent="0.25">
      <c r="AK294" s="73"/>
      <c r="AL294" s="73"/>
      <c r="AM294" s="73"/>
      <c r="AN294" s="73"/>
      <c r="AO294" s="73"/>
      <c r="AP294" s="73"/>
      <c r="AQ294" s="73"/>
      <c r="AR294" s="73"/>
      <c r="AS294" s="73"/>
    </row>
    <row r="295" spans="37:45" x14ac:dyDescent="0.25">
      <c r="AK295" s="73"/>
      <c r="AL295" s="73"/>
      <c r="AM295" s="73"/>
      <c r="AN295" s="73"/>
      <c r="AO295" s="73"/>
      <c r="AP295" s="73"/>
      <c r="AQ295" s="73"/>
      <c r="AR295" s="73"/>
      <c r="AS295" s="73"/>
    </row>
    <row r="296" spans="37:45" x14ac:dyDescent="0.25">
      <c r="AK296" s="73"/>
      <c r="AL296" s="73"/>
      <c r="AM296" s="73"/>
      <c r="AN296" s="73"/>
      <c r="AO296" s="73"/>
      <c r="AP296" s="73"/>
      <c r="AQ296" s="73"/>
      <c r="AR296" s="73"/>
      <c r="AS296" s="73"/>
    </row>
    <row r="297" spans="37:45" x14ac:dyDescent="0.25">
      <c r="AK297" s="73"/>
      <c r="AL297" s="73"/>
      <c r="AM297" s="73"/>
      <c r="AN297" s="73"/>
      <c r="AO297" s="73"/>
      <c r="AP297" s="73"/>
      <c r="AQ297" s="73"/>
      <c r="AR297" s="73"/>
      <c r="AS297" s="73"/>
    </row>
    <row r="298" spans="37:45" x14ac:dyDescent="0.25">
      <c r="AK298" s="73"/>
      <c r="AL298" s="73"/>
      <c r="AM298" s="73"/>
      <c r="AN298" s="73"/>
      <c r="AO298" s="73"/>
      <c r="AP298" s="73"/>
      <c r="AQ298" s="73"/>
      <c r="AR298" s="73"/>
      <c r="AS298" s="73"/>
    </row>
    <row r="299" spans="37:45" x14ac:dyDescent="0.25">
      <c r="AK299" s="73"/>
      <c r="AL299" s="73"/>
      <c r="AM299" s="73"/>
      <c r="AN299" s="73"/>
      <c r="AO299" s="73"/>
      <c r="AP299" s="73"/>
      <c r="AQ299" s="73"/>
      <c r="AR299" s="73"/>
      <c r="AS299" s="73"/>
    </row>
    <row r="300" spans="37:45" x14ac:dyDescent="0.25">
      <c r="AK300" s="73"/>
      <c r="AL300" s="73"/>
      <c r="AM300" s="73"/>
      <c r="AN300" s="73"/>
      <c r="AO300" s="73"/>
      <c r="AP300" s="73"/>
      <c r="AQ300" s="73"/>
      <c r="AR300" s="73"/>
      <c r="AS300" s="73"/>
    </row>
    <row r="301" spans="37:45" x14ac:dyDescent="0.25">
      <c r="AK301" s="73"/>
      <c r="AL301" s="73"/>
      <c r="AM301" s="73"/>
      <c r="AN301" s="73"/>
      <c r="AO301" s="73"/>
      <c r="AP301" s="73"/>
      <c r="AQ301" s="73"/>
      <c r="AR301" s="73"/>
      <c r="AS301" s="73"/>
    </row>
    <row r="302" spans="37:45" x14ac:dyDescent="0.25">
      <c r="AK302" s="73"/>
      <c r="AL302" s="73"/>
      <c r="AM302" s="73"/>
      <c r="AN302" s="73"/>
      <c r="AO302" s="73"/>
      <c r="AP302" s="73"/>
      <c r="AQ302" s="73"/>
      <c r="AR302" s="73"/>
      <c r="AS302" s="73"/>
    </row>
    <row r="303" spans="37:45" x14ac:dyDescent="0.25">
      <c r="AK303" s="73"/>
      <c r="AL303" s="73"/>
      <c r="AM303" s="73"/>
      <c r="AN303" s="73"/>
      <c r="AO303" s="73"/>
      <c r="AP303" s="73"/>
      <c r="AQ303" s="73"/>
      <c r="AR303" s="73"/>
      <c r="AS303" s="73"/>
    </row>
    <row r="304" spans="37:45" x14ac:dyDescent="0.25">
      <c r="AK304" s="73"/>
      <c r="AL304" s="73"/>
      <c r="AM304" s="73"/>
      <c r="AN304" s="73"/>
      <c r="AO304" s="73"/>
      <c r="AP304" s="73"/>
      <c r="AQ304" s="73"/>
      <c r="AR304" s="73"/>
      <c r="AS304" s="73"/>
    </row>
    <row r="305" spans="37:45" x14ac:dyDescent="0.25">
      <c r="AK305" s="73"/>
      <c r="AL305" s="73"/>
      <c r="AM305" s="73"/>
      <c r="AN305" s="73"/>
      <c r="AO305" s="73"/>
      <c r="AP305" s="73"/>
      <c r="AQ305" s="73"/>
      <c r="AR305" s="73"/>
      <c r="AS305" s="73"/>
    </row>
    <row r="306" spans="37:45" x14ac:dyDescent="0.25">
      <c r="AK306" s="73"/>
      <c r="AL306" s="73"/>
      <c r="AM306" s="73"/>
      <c r="AN306" s="73"/>
      <c r="AO306" s="73"/>
      <c r="AP306" s="73"/>
      <c r="AQ306" s="73"/>
      <c r="AR306" s="73"/>
      <c r="AS306" s="73"/>
    </row>
    <row r="307" spans="37:45" x14ac:dyDescent="0.25">
      <c r="AK307" s="73"/>
      <c r="AL307" s="73"/>
      <c r="AM307" s="73"/>
      <c r="AN307" s="73"/>
      <c r="AO307" s="73"/>
      <c r="AP307" s="73"/>
      <c r="AQ307" s="73"/>
      <c r="AR307" s="73"/>
      <c r="AS307" s="73"/>
    </row>
    <row r="308" spans="37:45" x14ac:dyDescent="0.25">
      <c r="AK308" s="73"/>
      <c r="AL308" s="73"/>
      <c r="AM308" s="73"/>
      <c r="AN308" s="73"/>
      <c r="AO308" s="73"/>
      <c r="AP308" s="73"/>
      <c r="AQ308" s="73"/>
      <c r="AR308" s="73"/>
      <c r="AS308" s="73"/>
    </row>
    <row r="309" spans="37:45" x14ac:dyDescent="0.25">
      <c r="AK309" s="73"/>
      <c r="AL309" s="73"/>
      <c r="AM309" s="73"/>
      <c r="AN309" s="73"/>
      <c r="AO309" s="73"/>
      <c r="AP309" s="73"/>
      <c r="AQ309" s="73"/>
      <c r="AR309" s="73"/>
      <c r="AS309" s="73"/>
    </row>
    <row r="310" spans="37:45" x14ac:dyDescent="0.25">
      <c r="AK310" s="73"/>
      <c r="AL310" s="73"/>
      <c r="AM310" s="73"/>
      <c r="AN310" s="73"/>
      <c r="AO310" s="73"/>
      <c r="AP310" s="73"/>
      <c r="AQ310" s="73"/>
      <c r="AR310" s="73"/>
      <c r="AS310" s="73"/>
    </row>
    <row r="311" spans="37:45" x14ac:dyDescent="0.25">
      <c r="AK311" s="73"/>
      <c r="AL311" s="73"/>
      <c r="AM311" s="73"/>
      <c r="AN311" s="73"/>
      <c r="AO311" s="73"/>
      <c r="AP311" s="73"/>
      <c r="AQ311" s="73"/>
      <c r="AR311" s="73"/>
      <c r="AS311" s="73"/>
    </row>
    <row r="312" spans="37:45" x14ac:dyDescent="0.25">
      <c r="AK312" s="73"/>
      <c r="AL312" s="73"/>
      <c r="AM312" s="73"/>
      <c r="AN312" s="73"/>
      <c r="AO312" s="73"/>
      <c r="AP312" s="73"/>
      <c r="AQ312" s="73"/>
      <c r="AR312" s="73"/>
      <c r="AS312" s="73"/>
    </row>
    <row r="313" spans="37:45" x14ac:dyDescent="0.25">
      <c r="AK313" s="73"/>
      <c r="AL313" s="73"/>
      <c r="AM313" s="73"/>
      <c r="AN313" s="73"/>
      <c r="AO313" s="73"/>
      <c r="AP313" s="73"/>
      <c r="AQ313" s="73"/>
      <c r="AR313" s="73"/>
      <c r="AS313" s="73"/>
    </row>
    <row r="314" spans="37:45" x14ac:dyDescent="0.25">
      <c r="AK314" s="73"/>
      <c r="AL314" s="73"/>
      <c r="AM314" s="73"/>
      <c r="AN314" s="73"/>
      <c r="AO314" s="73"/>
      <c r="AP314" s="73"/>
      <c r="AQ314" s="73"/>
      <c r="AR314" s="73"/>
      <c r="AS314" s="73"/>
    </row>
    <row r="315" spans="37:45" x14ac:dyDescent="0.25">
      <c r="AK315" s="73"/>
      <c r="AL315" s="73"/>
      <c r="AM315" s="73"/>
      <c r="AN315" s="73"/>
      <c r="AO315" s="73"/>
      <c r="AP315" s="73"/>
      <c r="AQ315" s="73"/>
      <c r="AR315" s="73"/>
      <c r="AS315" s="73"/>
    </row>
    <row r="316" spans="37:45" x14ac:dyDescent="0.25">
      <c r="AK316" s="73"/>
      <c r="AL316" s="73"/>
      <c r="AM316" s="73"/>
      <c r="AN316" s="73"/>
      <c r="AO316" s="73"/>
      <c r="AP316" s="73"/>
      <c r="AQ316" s="73"/>
      <c r="AR316" s="73"/>
      <c r="AS316" s="73"/>
    </row>
    <row r="317" spans="37:45" x14ac:dyDescent="0.25">
      <c r="AK317" s="73"/>
      <c r="AL317" s="73"/>
      <c r="AM317" s="73"/>
      <c r="AN317" s="73"/>
      <c r="AO317" s="73"/>
      <c r="AP317" s="73"/>
      <c r="AQ317" s="73"/>
      <c r="AR317" s="73"/>
      <c r="AS317" s="73"/>
    </row>
    <row r="318" spans="37:45" x14ac:dyDescent="0.25">
      <c r="AK318" s="73"/>
      <c r="AL318" s="73"/>
      <c r="AM318" s="73"/>
      <c r="AN318" s="73"/>
      <c r="AO318" s="73"/>
      <c r="AP318" s="73"/>
      <c r="AQ318" s="73"/>
      <c r="AR318" s="73"/>
      <c r="AS318" s="73"/>
    </row>
    <row r="319" spans="37:45" x14ac:dyDescent="0.25">
      <c r="AK319" s="73"/>
      <c r="AL319" s="73"/>
      <c r="AM319" s="73"/>
      <c r="AN319" s="73"/>
      <c r="AO319" s="73"/>
      <c r="AP319" s="73"/>
      <c r="AQ319" s="73"/>
      <c r="AR319" s="73"/>
      <c r="AS319" s="73"/>
    </row>
    <row r="320" spans="37:45" x14ac:dyDescent="0.25">
      <c r="AK320" s="73"/>
      <c r="AL320" s="73"/>
      <c r="AM320" s="73"/>
      <c r="AN320" s="73"/>
      <c r="AO320" s="73"/>
      <c r="AP320" s="73"/>
      <c r="AQ320" s="73"/>
      <c r="AR320" s="73"/>
      <c r="AS320" s="73"/>
    </row>
    <row r="321" spans="37:45" x14ac:dyDescent="0.25">
      <c r="AK321" s="73"/>
      <c r="AL321" s="73"/>
      <c r="AM321" s="73"/>
      <c r="AN321" s="73"/>
      <c r="AO321" s="73"/>
      <c r="AP321" s="73"/>
      <c r="AQ321" s="73"/>
      <c r="AR321" s="73"/>
      <c r="AS321" s="73"/>
    </row>
    <row r="322" spans="37:45" x14ac:dyDescent="0.25">
      <c r="AK322" s="73"/>
      <c r="AL322" s="73"/>
      <c r="AM322" s="73"/>
      <c r="AN322" s="73"/>
      <c r="AO322" s="73"/>
      <c r="AP322" s="73"/>
      <c r="AQ322" s="73"/>
      <c r="AR322" s="73"/>
      <c r="AS322" s="73"/>
    </row>
    <row r="323" spans="37:45" x14ac:dyDescent="0.25">
      <c r="AK323" s="73"/>
      <c r="AL323" s="73"/>
      <c r="AM323" s="73"/>
      <c r="AN323" s="73"/>
      <c r="AO323" s="73"/>
      <c r="AP323" s="73"/>
      <c r="AQ323" s="73"/>
      <c r="AR323" s="73"/>
      <c r="AS323" s="73"/>
    </row>
    <row r="324" spans="37:45" x14ac:dyDescent="0.25">
      <c r="AK324" s="73"/>
      <c r="AL324" s="73"/>
      <c r="AM324" s="73"/>
      <c r="AN324" s="73"/>
      <c r="AO324" s="73"/>
      <c r="AP324" s="73"/>
      <c r="AQ324" s="73"/>
      <c r="AR324" s="73"/>
      <c r="AS324" s="73"/>
    </row>
    <row r="325" spans="37:45" x14ac:dyDescent="0.25">
      <c r="AK325" s="73"/>
      <c r="AL325" s="73"/>
      <c r="AM325" s="73"/>
      <c r="AN325" s="73"/>
      <c r="AO325" s="73"/>
      <c r="AP325" s="73"/>
      <c r="AQ325" s="73"/>
      <c r="AR325" s="73"/>
      <c r="AS325" s="73"/>
    </row>
    <row r="326" spans="37:45" x14ac:dyDescent="0.25">
      <c r="AK326" s="73"/>
      <c r="AL326" s="73"/>
      <c r="AM326" s="73"/>
      <c r="AN326" s="73"/>
      <c r="AO326" s="73"/>
      <c r="AP326" s="73"/>
      <c r="AQ326" s="73"/>
      <c r="AR326" s="73"/>
      <c r="AS326" s="73"/>
    </row>
    <row r="327" spans="37:45" x14ac:dyDescent="0.25">
      <c r="AK327" s="73"/>
      <c r="AL327" s="73"/>
      <c r="AM327" s="73"/>
      <c r="AN327" s="73"/>
      <c r="AO327" s="73"/>
      <c r="AP327" s="73"/>
      <c r="AQ327" s="73"/>
      <c r="AR327" s="73"/>
      <c r="AS327" s="73"/>
    </row>
    <row r="328" spans="37:45" x14ac:dyDescent="0.25">
      <c r="AK328" s="73"/>
      <c r="AL328" s="73"/>
      <c r="AM328" s="73"/>
      <c r="AN328" s="73"/>
      <c r="AO328" s="73"/>
      <c r="AP328" s="73"/>
      <c r="AQ328" s="73"/>
      <c r="AR328" s="73"/>
      <c r="AS328" s="73"/>
    </row>
    <row r="329" spans="37:45" x14ac:dyDescent="0.25">
      <c r="AK329" s="73"/>
      <c r="AL329" s="73"/>
      <c r="AM329" s="73"/>
      <c r="AN329" s="73"/>
      <c r="AO329" s="73"/>
      <c r="AP329" s="73"/>
      <c r="AQ329" s="73"/>
      <c r="AR329" s="73"/>
      <c r="AS329" s="73"/>
    </row>
    <row r="330" spans="37:45" x14ac:dyDescent="0.25">
      <c r="AK330" s="73"/>
      <c r="AL330" s="73"/>
      <c r="AM330" s="73"/>
      <c r="AN330" s="73"/>
      <c r="AO330" s="73"/>
      <c r="AP330" s="73"/>
      <c r="AQ330" s="73"/>
      <c r="AR330" s="73"/>
      <c r="AS330" s="73"/>
    </row>
    <row r="331" spans="37:45" x14ac:dyDescent="0.25">
      <c r="AK331" s="73"/>
      <c r="AL331" s="73"/>
      <c r="AM331" s="73"/>
      <c r="AN331" s="73"/>
      <c r="AO331" s="73"/>
      <c r="AP331" s="73"/>
      <c r="AQ331" s="73"/>
      <c r="AR331" s="73"/>
      <c r="AS331" s="73"/>
    </row>
    <row r="332" spans="37:45" x14ac:dyDescent="0.25">
      <c r="AK332" s="73"/>
      <c r="AL332" s="73"/>
      <c r="AM332" s="73"/>
      <c r="AN332" s="73"/>
      <c r="AO332" s="73"/>
      <c r="AP332" s="73"/>
      <c r="AQ332" s="73"/>
      <c r="AR332" s="73"/>
      <c r="AS332" s="73"/>
    </row>
    <row r="333" spans="37:45" x14ac:dyDescent="0.25">
      <c r="AK333" s="73"/>
      <c r="AL333" s="73"/>
      <c r="AM333" s="73"/>
      <c r="AN333" s="73"/>
      <c r="AO333" s="73"/>
      <c r="AP333" s="73"/>
      <c r="AQ333" s="73"/>
      <c r="AR333" s="73"/>
      <c r="AS333" s="73"/>
    </row>
    <row r="334" spans="37:45" x14ac:dyDescent="0.25">
      <c r="AK334" s="73"/>
      <c r="AL334" s="73"/>
      <c r="AM334" s="73"/>
      <c r="AN334" s="73"/>
      <c r="AO334" s="73"/>
      <c r="AP334" s="73"/>
      <c r="AQ334" s="73"/>
      <c r="AR334" s="73"/>
      <c r="AS334" s="73"/>
    </row>
    <row r="335" spans="37:45" x14ac:dyDescent="0.25">
      <c r="AK335" s="73"/>
      <c r="AL335" s="73"/>
      <c r="AM335" s="73"/>
      <c r="AN335" s="73"/>
      <c r="AO335" s="73"/>
      <c r="AP335" s="73"/>
      <c r="AQ335" s="73"/>
      <c r="AR335" s="73"/>
      <c r="AS335" s="73"/>
    </row>
    <row r="336" spans="37:45" x14ac:dyDescent="0.25">
      <c r="AK336" s="73"/>
      <c r="AL336" s="73"/>
      <c r="AM336" s="73"/>
      <c r="AN336" s="73"/>
      <c r="AO336" s="73"/>
      <c r="AP336" s="73"/>
      <c r="AQ336" s="73"/>
      <c r="AR336" s="73"/>
      <c r="AS336" s="73"/>
    </row>
    <row r="337" spans="37:45" x14ac:dyDescent="0.25">
      <c r="AK337" s="73"/>
      <c r="AL337" s="73"/>
      <c r="AM337" s="73"/>
      <c r="AN337" s="73"/>
      <c r="AO337" s="73"/>
      <c r="AP337" s="73"/>
      <c r="AQ337" s="73"/>
      <c r="AR337" s="73"/>
      <c r="AS337" s="73"/>
    </row>
    <row r="338" spans="37:45" x14ac:dyDescent="0.25">
      <c r="AK338" s="73"/>
      <c r="AL338" s="73"/>
      <c r="AM338" s="73"/>
      <c r="AN338" s="73"/>
      <c r="AO338" s="73"/>
      <c r="AP338" s="73"/>
      <c r="AQ338" s="73"/>
      <c r="AR338" s="73"/>
      <c r="AS338" s="73"/>
    </row>
    <row r="339" spans="37:45" x14ac:dyDescent="0.25">
      <c r="AK339" s="73"/>
      <c r="AL339" s="73"/>
      <c r="AM339" s="73"/>
      <c r="AN339" s="73"/>
      <c r="AO339" s="73"/>
      <c r="AP339" s="73"/>
      <c r="AQ339" s="73"/>
      <c r="AR339" s="73"/>
      <c r="AS339" s="73"/>
    </row>
    <row r="340" spans="37:45" x14ac:dyDescent="0.25">
      <c r="AK340" s="73"/>
      <c r="AL340" s="73"/>
      <c r="AM340" s="73"/>
      <c r="AN340" s="73"/>
      <c r="AO340" s="73"/>
      <c r="AP340" s="73"/>
      <c r="AQ340" s="73"/>
      <c r="AR340" s="73"/>
      <c r="AS340" s="73"/>
    </row>
    <row r="341" spans="37:45" x14ac:dyDescent="0.25">
      <c r="AK341" s="73"/>
      <c r="AL341" s="73"/>
      <c r="AM341" s="73"/>
      <c r="AN341" s="73"/>
      <c r="AO341" s="73"/>
      <c r="AP341" s="73"/>
      <c r="AQ341" s="73"/>
      <c r="AR341" s="73"/>
      <c r="AS341" s="73"/>
    </row>
    <row r="342" spans="37:45" x14ac:dyDescent="0.25">
      <c r="AK342" s="73"/>
      <c r="AL342" s="73"/>
      <c r="AM342" s="73"/>
      <c r="AN342" s="73"/>
      <c r="AO342" s="73"/>
      <c r="AP342" s="73"/>
      <c r="AQ342" s="73"/>
      <c r="AR342" s="73"/>
      <c r="AS342" s="73"/>
    </row>
    <row r="343" spans="37:45" x14ac:dyDescent="0.25">
      <c r="AK343" s="73"/>
      <c r="AL343" s="73"/>
      <c r="AM343" s="73"/>
      <c r="AN343" s="73"/>
      <c r="AO343" s="73"/>
      <c r="AP343" s="73"/>
      <c r="AQ343" s="73"/>
      <c r="AR343" s="73"/>
      <c r="AS343" s="73"/>
    </row>
    <row r="344" spans="37:45" x14ac:dyDescent="0.25">
      <c r="AK344" s="73"/>
      <c r="AL344" s="73"/>
      <c r="AM344" s="73"/>
      <c r="AN344" s="73"/>
      <c r="AO344" s="73"/>
      <c r="AP344" s="73"/>
      <c r="AQ344" s="73"/>
      <c r="AR344" s="73"/>
      <c r="AS344" s="73"/>
    </row>
    <row r="345" spans="37:45" x14ac:dyDescent="0.25">
      <c r="AK345" s="73"/>
      <c r="AL345" s="73"/>
      <c r="AM345" s="73"/>
      <c r="AN345" s="73"/>
      <c r="AO345" s="73"/>
      <c r="AP345" s="73"/>
      <c r="AQ345" s="73"/>
      <c r="AR345" s="73"/>
      <c r="AS345" s="73"/>
    </row>
    <row r="346" spans="37:45" x14ac:dyDescent="0.25">
      <c r="AK346" s="73"/>
      <c r="AL346" s="73"/>
      <c r="AM346" s="73"/>
      <c r="AN346" s="73"/>
      <c r="AO346" s="73"/>
      <c r="AP346" s="73"/>
      <c r="AQ346" s="73"/>
      <c r="AR346" s="73"/>
      <c r="AS346" s="73"/>
    </row>
    <row r="347" spans="37:45" x14ac:dyDescent="0.25">
      <c r="AK347" s="73"/>
      <c r="AL347" s="73"/>
      <c r="AM347" s="73"/>
      <c r="AN347" s="73"/>
      <c r="AO347" s="73"/>
      <c r="AP347" s="73"/>
      <c r="AQ347" s="73"/>
      <c r="AR347" s="73"/>
      <c r="AS347" s="73"/>
    </row>
    <row r="348" spans="37:45" x14ac:dyDescent="0.25">
      <c r="AK348" s="73"/>
      <c r="AL348" s="73"/>
      <c r="AM348" s="73"/>
      <c r="AN348" s="73"/>
      <c r="AO348" s="73"/>
      <c r="AP348" s="73"/>
      <c r="AQ348" s="73"/>
      <c r="AR348" s="73"/>
      <c r="AS348" s="73"/>
    </row>
    <row r="349" spans="37:45" x14ac:dyDescent="0.25">
      <c r="AK349" s="73"/>
      <c r="AL349" s="73"/>
      <c r="AM349" s="73"/>
      <c r="AN349" s="73"/>
      <c r="AO349" s="73"/>
      <c r="AP349" s="73"/>
      <c r="AQ349" s="73"/>
      <c r="AR349" s="73"/>
      <c r="AS349" s="73"/>
    </row>
    <row r="350" spans="37:45" x14ac:dyDescent="0.25">
      <c r="AK350" s="73"/>
      <c r="AL350" s="73"/>
      <c r="AM350" s="73"/>
      <c r="AN350" s="73"/>
      <c r="AO350" s="73"/>
      <c r="AP350" s="73"/>
      <c r="AQ350" s="73"/>
      <c r="AR350" s="73"/>
      <c r="AS350" s="73"/>
    </row>
    <row r="351" spans="37:45" x14ac:dyDescent="0.25">
      <c r="AK351" s="73"/>
      <c r="AL351" s="73"/>
      <c r="AM351" s="73"/>
      <c r="AN351" s="73"/>
      <c r="AO351" s="73"/>
      <c r="AP351" s="73"/>
      <c r="AQ351" s="73"/>
      <c r="AR351" s="73"/>
      <c r="AS351" s="73"/>
    </row>
    <row r="352" spans="37:45" x14ac:dyDescent="0.25">
      <c r="AK352" s="73"/>
      <c r="AL352" s="73"/>
      <c r="AM352" s="73"/>
      <c r="AN352" s="73"/>
      <c r="AO352" s="73"/>
      <c r="AP352" s="73"/>
      <c r="AQ352" s="73"/>
      <c r="AR352" s="73"/>
      <c r="AS352" s="73"/>
    </row>
    <row r="353" spans="37:45" x14ac:dyDescent="0.25">
      <c r="AK353" s="73"/>
      <c r="AL353" s="73"/>
      <c r="AM353" s="73"/>
      <c r="AN353" s="73"/>
      <c r="AO353" s="73"/>
      <c r="AP353" s="73"/>
      <c r="AQ353" s="73"/>
      <c r="AR353" s="73"/>
      <c r="AS353" s="73"/>
    </row>
    <row r="354" spans="37:45" x14ac:dyDescent="0.25">
      <c r="AK354" s="73"/>
      <c r="AL354" s="73"/>
      <c r="AM354" s="73"/>
      <c r="AN354" s="73"/>
      <c r="AO354" s="73"/>
      <c r="AP354" s="73"/>
      <c r="AQ354" s="73"/>
      <c r="AR354" s="73"/>
      <c r="AS354" s="73"/>
    </row>
    <row r="355" spans="37:45" x14ac:dyDescent="0.25">
      <c r="AK355" s="73"/>
      <c r="AL355" s="73"/>
      <c r="AM355" s="73"/>
      <c r="AN355" s="73"/>
      <c r="AO355" s="73"/>
      <c r="AP355" s="73"/>
      <c r="AQ355" s="73"/>
      <c r="AR355" s="73"/>
      <c r="AS355" s="73"/>
    </row>
    <row r="356" spans="37:45" x14ac:dyDescent="0.25">
      <c r="AK356" s="73"/>
      <c r="AL356" s="73"/>
      <c r="AM356" s="73"/>
      <c r="AN356" s="73"/>
      <c r="AO356" s="73"/>
      <c r="AP356" s="73"/>
      <c r="AQ356" s="73"/>
      <c r="AR356" s="73"/>
      <c r="AS356" s="73"/>
    </row>
    <row r="357" spans="37:45" x14ac:dyDescent="0.25">
      <c r="AK357" s="73"/>
      <c r="AL357" s="73"/>
      <c r="AM357" s="73"/>
      <c r="AN357" s="73"/>
      <c r="AO357" s="73"/>
      <c r="AP357" s="73"/>
      <c r="AQ357" s="73"/>
      <c r="AR357" s="73"/>
      <c r="AS357" s="73"/>
    </row>
    <row r="358" spans="37:45" x14ac:dyDescent="0.25">
      <c r="AK358" s="73"/>
      <c r="AL358" s="73"/>
      <c r="AM358" s="73"/>
      <c r="AN358" s="73"/>
      <c r="AO358" s="73"/>
      <c r="AP358" s="73"/>
      <c r="AQ358" s="73"/>
      <c r="AR358" s="73"/>
      <c r="AS358" s="73"/>
    </row>
    <row r="359" spans="37:45" x14ac:dyDescent="0.25">
      <c r="AK359" s="73"/>
      <c r="AL359" s="73"/>
      <c r="AM359" s="73"/>
      <c r="AN359" s="73"/>
      <c r="AO359" s="73"/>
      <c r="AP359" s="73"/>
      <c r="AQ359" s="73"/>
      <c r="AR359" s="73"/>
      <c r="AS359" s="73"/>
    </row>
    <row r="360" spans="37:45" x14ac:dyDescent="0.25">
      <c r="AK360" s="73"/>
      <c r="AL360" s="73"/>
      <c r="AM360" s="73"/>
      <c r="AN360" s="73"/>
      <c r="AO360" s="73"/>
      <c r="AP360" s="73"/>
      <c r="AQ360" s="73"/>
      <c r="AR360" s="73"/>
      <c r="AS360" s="73"/>
    </row>
    <row r="361" spans="37:45" x14ac:dyDescent="0.25">
      <c r="AK361" s="73"/>
      <c r="AL361" s="73"/>
      <c r="AM361" s="73"/>
      <c r="AN361" s="73"/>
      <c r="AO361" s="73"/>
      <c r="AP361" s="73"/>
      <c r="AQ361" s="73"/>
      <c r="AR361" s="73"/>
      <c r="AS361" s="73"/>
    </row>
    <row r="362" spans="37:45" x14ac:dyDescent="0.25">
      <c r="AK362" s="73"/>
      <c r="AL362" s="73"/>
      <c r="AM362" s="73"/>
      <c r="AN362" s="73"/>
      <c r="AO362" s="73"/>
      <c r="AP362" s="73"/>
      <c r="AQ362" s="73"/>
      <c r="AR362" s="73"/>
      <c r="AS362" s="73"/>
    </row>
    <row r="363" spans="37:45" x14ac:dyDescent="0.25">
      <c r="AK363" s="73"/>
      <c r="AL363" s="73"/>
      <c r="AM363" s="73"/>
      <c r="AN363" s="73"/>
      <c r="AO363" s="73"/>
      <c r="AP363" s="73"/>
      <c r="AQ363" s="73"/>
      <c r="AR363" s="73"/>
      <c r="AS363" s="73"/>
    </row>
    <row r="364" spans="37:45" x14ac:dyDescent="0.25">
      <c r="AK364" s="73"/>
      <c r="AL364" s="73"/>
      <c r="AM364" s="73"/>
      <c r="AN364" s="73"/>
      <c r="AO364" s="73"/>
      <c r="AP364" s="73"/>
      <c r="AQ364" s="73"/>
      <c r="AR364" s="73"/>
      <c r="AS364" s="73"/>
    </row>
    <row r="365" spans="37:45" x14ac:dyDescent="0.25">
      <c r="AK365" s="73"/>
      <c r="AL365" s="73"/>
      <c r="AM365" s="73"/>
      <c r="AN365" s="73"/>
      <c r="AO365" s="73"/>
      <c r="AP365" s="73"/>
      <c r="AQ365" s="73"/>
      <c r="AR365" s="73"/>
      <c r="AS365" s="73"/>
    </row>
    <row r="366" spans="37:45" x14ac:dyDescent="0.25">
      <c r="AK366" s="73"/>
      <c r="AL366" s="73"/>
      <c r="AM366" s="73"/>
      <c r="AN366" s="73"/>
      <c r="AO366" s="73"/>
      <c r="AP366" s="73"/>
      <c r="AQ366" s="73"/>
      <c r="AR366" s="73"/>
      <c r="AS366" s="73"/>
    </row>
    <row r="367" spans="37:45" x14ac:dyDescent="0.25">
      <c r="AK367" s="73"/>
      <c r="AL367" s="73"/>
      <c r="AM367" s="73"/>
      <c r="AN367" s="73"/>
      <c r="AO367" s="73"/>
      <c r="AP367" s="73"/>
      <c r="AQ367" s="73"/>
      <c r="AR367" s="73"/>
      <c r="AS367" s="73"/>
    </row>
    <row r="368" spans="37:45" x14ac:dyDescent="0.25">
      <c r="AK368" s="73"/>
      <c r="AL368" s="73"/>
      <c r="AM368" s="73"/>
      <c r="AN368" s="73"/>
      <c r="AO368" s="73"/>
      <c r="AP368" s="73"/>
      <c r="AQ368" s="73"/>
      <c r="AR368" s="73"/>
      <c r="AS368" s="73"/>
    </row>
    <row r="369" spans="37:45" x14ac:dyDescent="0.25">
      <c r="AK369" s="73"/>
      <c r="AL369" s="73"/>
      <c r="AM369" s="73"/>
      <c r="AN369" s="73"/>
      <c r="AO369" s="73"/>
      <c r="AP369" s="73"/>
      <c r="AQ369" s="73"/>
      <c r="AR369" s="73"/>
      <c r="AS369" s="73"/>
    </row>
    <row r="370" spans="37:45" x14ac:dyDescent="0.25">
      <c r="AK370" s="73"/>
      <c r="AL370" s="73"/>
      <c r="AM370" s="73"/>
      <c r="AN370" s="73"/>
      <c r="AO370" s="73"/>
      <c r="AP370" s="73"/>
      <c r="AQ370" s="73"/>
      <c r="AR370" s="73"/>
      <c r="AS370" s="73"/>
    </row>
    <row r="371" spans="37:45" x14ac:dyDescent="0.25">
      <c r="AK371" s="73"/>
      <c r="AL371" s="73"/>
      <c r="AM371" s="73"/>
      <c r="AN371" s="73"/>
      <c r="AO371" s="73"/>
      <c r="AP371" s="73"/>
      <c r="AQ371" s="73"/>
      <c r="AR371" s="73"/>
      <c r="AS371" s="73"/>
    </row>
    <row r="372" spans="37:45" x14ac:dyDescent="0.25">
      <c r="AK372" s="73"/>
      <c r="AL372" s="73"/>
      <c r="AM372" s="73"/>
      <c r="AN372" s="73"/>
      <c r="AO372" s="73"/>
      <c r="AP372" s="73"/>
      <c r="AQ372" s="73"/>
      <c r="AR372" s="73"/>
      <c r="AS372" s="73"/>
    </row>
    <row r="373" spans="37:45" x14ac:dyDescent="0.25">
      <c r="AK373" s="73"/>
      <c r="AL373" s="73"/>
      <c r="AM373" s="73"/>
      <c r="AN373" s="73"/>
      <c r="AO373" s="73"/>
      <c r="AP373" s="73"/>
      <c r="AQ373" s="73"/>
      <c r="AR373" s="73"/>
      <c r="AS373" s="73"/>
    </row>
    <row r="374" spans="37:45" x14ac:dyDescent="0.25">
      <c r="AK374" s="73"/>
      <c r="AL374" s="73"/>
      <c r="AM374" s="73"/>
      <c r="AN374" s="73"/>
      <c r="AO374" s="73"/>
      <c r="AP374" s="73"/>
      <c r="AQ374" s="73"/>
      <c r="AR374" s="73"/>
      <c r="AS374" s="73"/>
    </row>
    <row r="375" spans="37:45" x14ac:dyDescent="0.25">
      <c r="AK375" s="73"/>
      <c r="AL375" s="73"/>
      <c r="AM375" s="73"/>
      <c r="AN375" s="73"/>
      <c r="AO375" s="73"/>
      <c r="AP375" s="73"/>
      <c r="AQ375" s="73"/>
      <c r="AR375" s="73"/>
      <c r="AS375" s="73"/>
    </row>
    <row r="376" spans="37:45" x14ac:dyDescent="0.25">
      <c r="AK376" s="73"/>
      <c r="AL376" s="73"/>
      <c r="AM376" s="73"/>
      <c r="AN376" s="73"/>
      <c r="AO376" s="73"/>
      <c r="AP376" s="73"/>
      <c r="AQ376" s="73"/>
      <c r="AR376" s="73"/>
      <c r="AS376" s="73"/>
    </row>
    <row r="377" spans="37:45" x14ac:dyDescent="0.25">
      <c r="AK377" s="73"/>
      <c r="AL377" s="73"/>
      <c r="AM377" s="73"/>
      <c r="AN377" s="73"/>
      <c r="AO377" s="73"/>
      <c r="AP377" s="73"/>
      <c r="AQ377" s="73"/>
      <c r="AR377" s="73"/>
      <c r="AS377" s="73"/>
    </row>
    <row r="378" spans="37:45" x14ac:dyDescent="0.25">
      <c r="AK378" s="73"/>
      <c r="AL378" s="73"/>
      <c r="AM378" s="73"/>
      <c r="AN378" s="73"/>
      <c r="AO378" s="73"/>
      <c r="AP378" s="73"/>
      <c r="AQ378" s="73"/>
      <c r="AR378" s="73"/>
      <c r="AS378" s="73"/>
    </row>
    <row r="379" spans="37:45" x14ac:dyDescent="0.25">
      <c r="AK379" s="73"/>
      <c r="AL379" s="73"/>
      <c r="AM379" s="73"/>
      <c r="AN379" s="73"/>
      <c r="AO379" s="73"/>
      <c r="AP379" s="73"/>
      <c r="AQ379" s="73"/>
      <c r="AR379" s="73"/>
      <c r="AS379" s="73"/>
    </row>
    <row r="380" spans="37:45" x14ac:dyDescent="0.25">
      <c r="AK380" s="73"/>
      <c r="AL380" s="73"/>
      <c r="AM380" s="73"/>
      <c r="AN380" s="73"/>
      <c r="AO380" s="73"/>
      <c r="AP380" s="73"/>
      <c r="AQ380" s="73"/>
      <c r="AR380" s="73"/>
      <c r="AS380" s="73"/>
    </row>
    <row r="381" spans="37:45" x14ac:dyDescent="0.25">
      <c r="AK381" s="73"/>
      <c r="AL381" s="73"/>
      <c r="AM381" s="73"/>
      <c r="AN381" s="73"/>
      <c r="AO381" s="73"/>
      <c r="AP381" s="73"/>
      <c r="AQ381" s="73"/>
      <c r="AR381" s="73"/>
      <c r="AS381" s="73"/>
    </row>
    <row r="382" spans="37:45" x14ac:dyDescent="0.25">
      <c r="AK382" s="73"/>
      <c r="AL382" s="73"/>
      <c r="AM382" s="73"/>
      <c r="AN382" s="73"/>
      <c r="AO382" s="73"/>
      <c r="AP382" s="73"/>
      <c r="AQ382" s="73"/>
      <c r="AR382" s="73"/>
      <c r="AS382" s="73"/>
    </row>
    <row r="383" spans="37:45" x14ac:dyDescent="0.25">
      <c r="AK383" s="73"/>
      <c r="AL383" s="73"/>
      <c r="AM383" s="73"/>
      <c r="AN383" s="73"/>
      <c r="AO383" s="73"/>
      <c r="AP383" s="73"/>
      <c r="AQ383" s="73"/>
      <c r="AR383" s="73"/>
      <c r="AS383" s="73"/>
    </row>
    <row r="384" spans="37:45" x14ac:dyDescent="0.25">
      <c r="AK384" s="73"/>
      <c r="AL384" s="73"/>
      <c r="AM384" s="73"/>
      <c r="AN384" s="73"/>
      <c r="AO384" s="73"/>
      <c r="AP384" s="73"/>
      <c r="AQ384" s="73"/>
      <c r="AR384" s="73"/>
      <c r="AS384" s="73"/>
    </row>
    <row r="385" spans="37:45" x14ac:dyDescent="0.25">
      <c r="AK385" s="73"/>
      <c r="AL385" s="73"/>
      <c r="AM385" s="73"/>
      <c r="AN385" s="73"/>
      <c r="AO385" s="73"/>
      <c r="AP385" s="73"/>
      <c r="AQ385" s="73"/>
      <c r="AR385" s="73"/>
      <c r="AS385" s="73"/>
    </row>
    <row r="386" spans="37:45" x14ac:dyDescent="0.25">
      <c r="AK386" s="73"/>
      <c r="AL386" s="73"/>
      <c r="AM386" s="73"/>
      <c r="AN386" s="73"/>
      <c r="AO386" s="73"/>
      <c r="AP386" s="73"/>
      <c r="AQ386" s="73"/>
      <c r="AR386" s="73"/>
      <c r="AS386" s="73"/>
    </row>
    <row r="387" spans="37:45" x14ac:dyDescent="0.25">
      <c r="AK387" s="73"/>
      <c r="AL387" s="73"/>
      <c r="AM387" s="73"/>
      <c r="AN387" s="73"/>
      <c r="AO387" s="73"/>
      <c r="AP387" s="73"/>
      <c r="AQ387" s="73"/>
      <c r="AR387" s="73"/>
      <c r="AS387" s="73"/>
    </row>
    <row r="388" spans="37:45" x14ac:dyDescent="0.25">
      <c r="AK388" s="73"/>
      <c r="AL388" s="73"/>
      <c r="AM388" s="73"/>
      <c r="AN388" s="73"/>
      <c r="AO388" s="73"/>
      <c r="AP388" s="73"/>
      <c r="AQ388" s="73"/>
      <c r="AR388" s="73"/>
      <c r="AS388" s="73"/>
    </row>
    <row r="389" spans="37:45" x14ac:dyDescent="0.25">
      <c r="AK389" s="73"/>
      <c r="AL389" s="73"/>
      <c r="AM389" s="73"/>
      <c r="AN389" s="73"/>
      <c r="AO389" s="73"/>
      <c r="AP389" s="73"/>
      <c r="AQ389" s="73"/>
      <c r="AR389" s="73"/>
      <c r="AS389" s="73"/>
    </row>
    <row r="390" spans="37:45" x14ac:dyDescent="0.25">
      <c r="AK390" s="73"/>
      <c r="AL390" s="73"/>
      <c r="AM390" s="73"/>
      <c r="AN390" s="73"/>
      <c r="AO390" s="73"/>
      <c r="AP390" s="73"/>
      <c r="AQ390" s="73"/>
      <c r="AR390" s="73"/>
      <c r="AS390" s="73"/>
    </row>
    <row r="391" spans="37:45" x14ac:dyDescent="0.25">
      <c r="AK391" s="73"/>
      <c r="AL391" s="73"/>
      <c r="AM391" s="73"/>
      <c r="AN391" s="73"/>
      <c r="AO391" s="73"/>
      <c r="AP391" s="73"/>
      <c r="AQ391" s="73"/>
      <c r="AR391" s="73"/>
      <c r="AS391" s="73"/>
    </row>
    <row r="392" spans="37:45" x14ac:dyDescent="0.25">
      <c r="AK392" s="73"/>
      <c r="AL392" s="73"/>
      <c r="AM392" s="73"/>
      <c r="AN392" s="73"/>
      <c r="AO392" s="73"/>
      <c r="AP392" s="73"/>
      <c r="AQ392" s="73"/>
      <c r="AR392" s="73"/>
      <c r="AS392" s="73"/>
    </row>
    <row r="393" spans="37:45" x14ac:dyDescent="0.25">
      <c r="AK393" s="73"/>
      <c r="AL393" s="73"/>
      <c r="AM393" s="73"/>
      <c r="AN393" s="73"/>
      <c r="AO393" s="73"/>
      <c r="AP393" s="73"/>
      <c r="AQ393" s="73"/>
      <c r="AR393" s="73"/>
      <c r="AS393" s="73"/>
    </row>
    <row r="394" spans="37:45" x14ac:dyDescent="0.25">
      <c r="AK394" s="73"/>
      <c r="AL394" s="73"/>
      <c r="AM394" s="73"/>
      <c r="AN394" s="73"/>
      <c r="AO394" s="73"/>
      <c r="AP394" s="73"/>
      <c r="AQ394" s="73"/>
      <c r="AR394" s="73"/>
      <c r="AS394" s="73"/>
    </row>
    <row r="395" spans="37:45" x14ac:dyDescent="0.25">
      <c r="AK395" s="73"/>
      <c r="AL395" s="73"/>
      <c r="AM395" s="73"/>
      <c r="AN395" s="73"/>
      <c r="AO395" s="73"/>
      <c r="AP395" s="73"/>
      <c r="AQ395" s="73"/>
      <c r="AR395" s="73"/>
      <c r="AS395" s="73"/>
    </row>
    <row r="396" spans="37:45" x14ac:dyDescent="0.25">
      <c r="AK396" s="73"/>
      <c r="AL396" s="73"/>
      <c r="AM396" s="73"/>
      <c r="AN396" s="73"/>
      <c r="AO396" s="73"/>
      <c r="AP396" s="73"/>
      <c r="AQ396" s="73"/>
      <c r="AR396" s="73"/>
      <c r="AS396" s="73"/>
    </row>
    <row r="397" spans="37:45" x14ac:dyDescent="0.25">
      <c r="AK397" s="73"/>
      <c r="AL397" s="73"/>
      <c r="AM397" s="73"/>
      <c r="AN397" s="73"/>
      <c r="AO397" s="73"/>
      <c r="AP397" s="73"/>
      <c r="AQ397" s="73"/>
      <c r="AR397" s="73"/>
      <c r="AS397" s="73"/>
    </row>
    <row r="398" spans="37:45" x14ac:dyDescent="0.25">
      <c r="AK398" s="73"/>
      <c r="AL398" s="73"/>
      <c r="AM398" s="73"/>
      <c r="AN398" s="73"/>
      <c r="AO398" s="73"/>
      <c r="AP398" s="73"/>
      <c r="AQ398" s="73"/>
      <c r="AR398" s="73"/>
      <c r="AS398" s="73"/>
    </row>
    <row r="399" spans="37:45" x14ac:dyDescent="0.25">
      <c r="AK399" s="73"/>
      <c r="AL399" s="73"/>
      <c r="AM399" s="73"/>
      <c r="AN399" s="73"/>
      <c r="AO399" s="73"/>
      <c r="AP399" s="73"/>
      <c r="AQ399" s="73"/>
      <c r="AR399" s="73"/>
      <c r="AS399" s="73"/>
    </row>
    <row r="400" spans="37:45" x14ac:dyDescent="0.25">
      <c r="AK400" s="73"/>
      <c r="AL400" s="73"/>
      <c r="AM400" s="73"/>
      <c r="AN400" s="73"/>
      <c r="AO400" s="73"/>
      <c r="AP400" s="73"/>
      <c r="AQ400" s="73"/>
      <c r="AR400" s="73"/>
      <c r="AS400" s="73"/>
    </row>
    <row r="401" spans="37:45" x14ac:dyDescent="0.25">
      <c r="AK401" s="73"/>
      <c r="AL401" s="73"/>
      <c r="AM401" s="73"/>
      <c r="AN401" s="73"/>
      <c r="AO401" s="73"/>
      <c r="AP401" s="73"/>
      <c r="AQ401" s="73"/>
      <c r="AR401" s="73"/>
      <c r="AS401" s="73"/>
    </row>
    <row r="402" spans="37:45" x14ac:dyDescent="0.25">
      <c r="AK402" s="73"/>
      <c r="AL402" s="73"/>
      <c r="AM402" s="73"/>
      <c r="AN402" s="73"/>
      <c r="AO402" s="73"/>
      <c r="AP402" s="73"/>
      <c r="AQ402" s="73"/>
      <c r="AR402" s="73"/>
      <c r="AS402" s="73"/>
    </row>
    <row r="403" spans="37:45" x14ac:dyDescent="0.25">
      <c r="AK403" s="73"/>
      <c r="AL403" s="73"/>
      <c r="AM403" s="73"/>
      <c r="AN403" s="73"/>
      <c r="AO403" s="73"/>
      <c r="AP403" s="73"/>
      <c r="AQ403" s="73"/>
      <c r="AR403" s="73"/>
      <c r="AS403" s="73"/>
    </row>
    <row r="404" spans="37:45" x14ac:dyDescent="0.25">
      <c r="AK404" s="73"/>
      <c r="AL404" s="73"/>
      <c r="AM404" s="73"/>
      <c r="AN404" s="73"/>
      <c r="AO404" s="73"/>
      <c r="AP404" s="73"/>
      <c r="AQ404" s="73"/>
      <c r="AR404" s="73"/>
      <c r="AS404" s="73"/>
    </row>
    <row r="405" spans="37:45" x14ac:dyDescent="0.25">
      <c r="AK405" s="73"/>
      <c r="AL405" s="73"/>
      <c r="AM405" s="73"/>
      <c r="AN405" s="73"/>
      <c r="AO405" s="73"/>
      <c r="AP405" s="73"/>
      <c r="AQ405" s="73"/>
      <c r="AR405" s="73"/>
      <c r="AS405" s="73"/>
    </row>
    <row r="406" spans="37:45" x14ac:dyDescent="0.25">
      <c r="AK406" s="73"/>
      <c r="AL406" s="73"/>
      <c r="AM406" s="73"/>
      <c r="AN406" s="73"/>
      <c r="AO406" s="73"/>
      <c r="AP406" s="73"/>
      <c r="AQ406" s="73"/>
      <c r="AR406" s="73"/>
      <c r="AS406" s="73"/>
    </row>
    <row r="407" spans="37:45" x14ac:dyDescent="0.25">
      <c r="AK407" s="73"/>
      <c r="AL407" s="73"/>
      <c r="AM407" s="73"/>
      <c r="AN407" s="73"/>
      <c r="AO407" s="73"/>
      <c r="AP407" s="73"/>
      <c r="AQ407" s="73"/>
      <c r="AR407" s="73"/>
      <c r="AS407" s="73"/>
    </row>
    <row r="408" spans="37:45" x14ac:dyDescent="0.25">
      <c r="AK408" s="73"/>
      <c r="AL408" s="73"/>
      <c r="AM408" s="73"/>
      <c r="AN408" s="73"/>
      <c r="AO408" s="73"/>
      <c r="AP408" s="73"/>
      <c r="AQ408" s="73"/>
      <c r="AR408" s="73"/>
      <c r="AS408" s="73"/>
    </row>
    <row r="409" spans="37:45" x14ac:dyDescent="0.25">
      <c r="AK409" s="73"/>
      <c r="AL409" s="73"/>
      <c r="AM409" s="73"/>
      <c r="AN409" s="73"/>
      <c r="AO409" s="73"/>
      <c r="AP409" s="73"/>
      <c r="AQ409" s="73"/>
      <c r="AR409" s="73"/>
      <c r="AS409" s="73"/>
    </row>
    <row r="410" spans="37:45" x14ac:dyDescent="0.25">
      <c r="AK410" s="73"/>
      <c r="AL410" s="73"/>
      <c r="AM410" s="73"/>
      <c r="AN410" s="73"/>
      <c r="AO410" s="73"/>
      <c r="AP410" s="73"/>
      <c r="AQ410" s="73"/>
      <c r="AR410" s="73"/>
      <c r="AS410" s="73"/>
    </row>
    <row r="411" spans="37:45" x14ac:dyDescent="0.25">
      <c r="AK411" s="73"/>
      <c r="AL411" s="73"/>
      <c r="AM411" s="73"/>
      <c r="AN411" s="73"/>
      <c r="AO411" s="73"/>
      <c r="AP411" s="73"/>
      <c r="AQ411" s="73"/>
      <c r="AR411" s="73"/>
      <c r="AS411" s="73"/>
    </row>
    <row r="412" spans="37:45" x14ac:dyDescent="0.25">
      <c r="AK412" s="73"/>
      <c r="AL412" s="73"/>
      <c r="AM412" s="73"/>
      <c r="AN412" s="73"/>
      <c r="AO412" s="73"/>
      <c r="AP412" s="73"/>
      <c r="AQ412" s="73"/>
      <c r="AR412" s="73"/>
      <c r="AS412" s="73"/>
    </row>
    <row r="413" spans="37:45" x14ac:dyDescent="0.25">
      <c r="AK413" s="73"/>
      <c r="AL413" s="73"/>
      <c r="AM413" s="73"/>
      <c r="AN413" s="73"/>
      <c r="AO413" s="73"/>
      <c r="AP413" s="73"/>
      <c r="AQ413" s="73"/>
      <c r="AR413" s="73"/>
      <c r="AS413" s="73"/>
    </row>
    <row r="414" spans="37:45" x14ac:dyDescent="0.25">
      <c r="AK414" s="73"/>
      <c r="AL414" s="73"/>
      <c r="AM414" s="73"/>
      <c r="AN414" s="73"/>
      <c r="AO414" s="73"/>
      <c r="AP414" s="73"/>
      <c r="AQ414" s="73"/>
      <c r="AR414" s="73"/>
      <c r="AS414" s="73"/>
    </row>
    <row r="415" spans="37:45" x14ac:dyDescent="0.25">
      <c r="AK415" s="73"/>
      <c r="AL415" s="73"/>
      <c r="AM415" s="73"/>
      <c r="AN415" s="73"/>
      <c r="AO415" s="73"/>
      <c r="AP415" s="73"/>
      <c r="AQ415" s="73"/>
      <c r="AR415" s="73"/>
      <c r="AS415" s="73"/>
    </row>
    <row r="416" spans="37:45" x14ac:dyDescent="0.25">
      <c r="AK416" s="73"/>
      <c r="AL416" s="73"/>
      <c r="AM416" s="73"/>
      <c r="AN416" s="73"/>
      <c r="AO416" s="73"/>
      <c r="AP416" s="73"/>
      <c r="AQ416" s="73"/>
      <c r="AR416" s="73"/>
      <c r="AS416" s="73"/>
    </row>
    <row r="417" spans="37:45" x14ac:dyDescent="0.25">
      <c r="AK417" s="73"/>
      <c r="AL417" s="73"/>
      <c r="AM417" s="73"/>
      <c r="AN417" s="73"/>
      <c r="AO417" s="73"/>
      <c r="AP417" s="73"/>
      <c r="AQ417" s="73"/>
      <c r="AR417" s="73"/>
      <c r="AS417" s="73"/>
    </row>
    <row r="418" spans="37:45" x14ac:dyDescent="0.25">
      <c r="AK418" s="73"/>
      <c r="AL418" s="73"/>
      <c r="AM418" s="73"/>
      <c r="AN418" s="73"/>
      <c r="AO418" s="73"/>
      <c r="AP418" s="73"/>
      <c r="AQ418" s="73"/>
      <c r="AR418" s="73"/>
      <c r="AS418" s="73"/>
    </row>
    <row r="419" spans="37:45" x14ac:dyDescent="0.25">
      <c r="AK419" s="73"/>
      <c r="AL419" s="73"/>
      <c r="AM419" s="73"/>
      <c r="AN419" s="73"/>
      <c r="AO419" s="73"/>
      <c r="AP419" s="73"/>
      <c r="AQ419" s="73"/>
      <c r="AR419" s="73"/>
      <c r="AS419" s="73"/>
    </row>
    <row r="420" spans="37:45" x14ac:dyDescent="0.25">
      <c r="AK420" s="73"/>
      <c r="AL420" s="73"/>
      <c r="AM420" s="73"/>
      <c r="AN420" s="73"/>
      <c r="AO420" s="73"/>
      <c r="AP420" s="73"/>
      <c r="AQ420" s="73"/>
      <c r="AR420" s="73"/>
      <c r="AS420" s="73"/>
    </row>
    <row r="421" spans="37:45" x14ac:dyDescent="0.25">
      <c r="AK421" s="73"/>
      <c r="AL421" s="73"/>
      <c r="AM421" s="73"/>
      <c r="AN421" s="73"/>
      <c r="AO421" s="73"/>
      <c r="AP421" s="73"/>
      <c r="AQ421" s="73"/>
      <c r="AR421" s="73"/>
      <c r="AS421" s="73"/>
    </row>
    <row r="422" spans="37:45" x14ac:dyDescent="0.25">
      <c r="AK422" s="73"/>
      <c r="AL422" s="73"/>
      <c r="AM422" s="73"/>
      <c r="AN422" s="73"/>
      <c r="AO422" s="73"/>
      <c r="AP422" s="73"/>
      <c r="AQ422" s="73"/>
      <c r="AR422" s="73"/>
      <c r="AS422" s="73"/>
    </row>
    <row r="423" spans="37:45" x14ac:dyDescent="0.25">
      <c r="AK423" s="73"/>
      <c r="AL423" s="73"/>
      <c r="AM423" s="73"/>
      <c r="AN423" s="73"/>
      <c r="AO423" s="73"/>
      <c r="AP423" s="73"/>
      <c r="AQ423" s="73"/>
      <c r="AR423" s="73"/>
      <c r="AS423" s="73"/>
    </row>
    <row r="424" spans="37:45" x14ac:dyDescent="0.25">
      <c r="AK424" s="73"/>
      <c r="AL424" s="73"/>
      <c r="AM424" s="73"/>
      <c r="AN424" s="73"/>
      <c r="AO424" s="73"/>
      <c r="AP424" s="73"/>
      <c r="AQ424" s="73"/>
      <c r="AR424" s="73"/>
      <c r="AS424" s="73"/>
    </row>
    <row r="425" spans="37:45" x14ac:dyDescent="0.25">
      <c r="AK425" s="73"/>
      <c r="AL425" s="73"/>
      <c r="AM425" s="73"/>
      <c r="AN425" s="73"/>
      <c r="AO425" s="73"/>
      <c r="AP425" s="73"/>
      <c r="AQ425" s="73"/>
      <c r="AR425" s="73"/>
      <c r="AS425" s="73"/>
    </row>
    <row r="426" spans="37:45" x14ac:dyDescent="0.25">
      <c r="AK426" s="73"/>
      <c r="AL426" s="73"/>
      <c r="AM426" s="73"/>
      <c r="AN426" s="73"/>
      <c r="AO426" s="73"/>
      <c r="AP426" s="73"/>
      <c r="AQ426" s="73"/>
      <c r="AR426" s="73"/>
      <c r="AS426" s="73"/>
    </row>
    <row r="427" spans="37:45" x14ac:dyDescent="0.25">
      <c r="AK427" s="73"/>
      <c r="AL427" s="73"/>
      <c r="AM427" s="73"/>
      <c r="AN427" s="73"/>
      <c r="AO427" s="73"/>
      <c r="AP427" s="73"/>
      <c r="AQ427" s="73"/>
      <c r="AR427" s="73"/>
      <c r="AS427" s="73"/>
    </row>
    <row r="428" spans="37:45" x14ac:dyDescent="0.25">
      <c r="AK428" s="73"/>
      <c r="AL428" s="73"/>
      <c r="AM428" s="73"/>
      <c r="AN428" s="73"/>
      <c r="AO428" s="73"/>
      <c r="AP428" s="73"/>
      <c r="AQ428" s="73"/>
      <c r="AR428" s="73"/>
      <c r="AS428" s="73"/>
    </row>
    <row r="429" spans="37:45" x14ac:dyDescent="0.25">
      <c r="AK429" s="73"/>
      <c r="AL429" s="73"/>
      <c r="AM429" s="73"/>
      <c r="AN429" s="73"/>
      <c r="AO429" s="73"/>
      <c r="AP429" s="73"/>
      <c r="AQ429" s="73"/>
      <c r="AR429" s="73"/>
      <c r="AS429" s="73"/>
    </row>
    <row r="430" spans="37:45" x14ac:dyDescent="0.25">
      <c r="AK430" s="73"/>
      <c r="AL430" s="73"/>
      <c r="AM430" s="73"/>
      <c r="AN430" s="73"/>
      <c r="AO430" s="73"/>
      <c r="AP430" s="73"/>
      <c r="AQ430" s="73"/>
      <c r="AR430" s="73"/>
      <c r="AS430" s="73"/>
    </row>
    <row r="431" spans="37:45" x14ac:dyDescent="0.25">
      <c r="AK431" s="73"/>
      <c r="AL431" s="73"/>
      <c r="AM431" s="73"/>
      <c r="AN431" s="73"/>
      <c r="AO431" s="73"/>
      <c r="AP431" s="73"/>
      <c r="AQ431" s="73"/>
      <c r="AR431" s="73"/>
      <c r="AS431" s="73"/>
    </row>
    <row r="432" spans="37:45" x14ac:dyDescent="0.25">
      <c r="AK432" s="73"/>
      <c r="AL432" s="73"/>
      <c r="AM432" s="73"/>
      <c r="AN432" s="73"/>
      <c r="AO432" s="73"/>
      <c r="AP432" s="73"/>
      <c r="AQ432" s="73"/>
      <c r="AR432" s="73"/>
      <c r="AS432" s="73"/>
    </row>
    <row r="433" spans="37:45" x14ac:dyDescent="0.25">
      <c r="AK433" s="73"/>
      <c r="AL433" s="73"/>
      <c r="AM433" s="73"/>
      <c r="AN433" s="73"/>
      <c r="AO433" s="73"/>
      <c r="AP433" s="73"/>
      <c r="AQ433" s="73"/>
      <c r="AR433" s="73"/>
      <c r="AS433" s="73"/>
    </row>
    <row r="434" spans="37:45" x14ac:dyDescent="0.25">
      <c r="AK434" s="73"/>
      <c r="AL434" s="73"/>
      <c r="AM434" s="73"/>
      <c r="AN434" s="73"/>
      <c r="AO434" s="73"/>
      <c r="AP434" s="73"/>
      <c r="AQ434" s="73"/>
      <c r="AR434" s="73"/>
      <c r="AS434" s="73"/>
    </row>
    <row r="435" spans="37:45" x14ac:dyDescent="0.25">
      <c r="AK435" s="73"/>
      <c r="AL435" s="73"/>
      <c r="AM435" s="73"/>
      <c r="AN435" s="73"/>
      <c r="AO435" s="73"/>
      <c r="AP435" s="73"/>
      <c r="AQ435" s="73"/>
      <c r="AR435" s="73"/>
      <c r="AS435" s="73"/>
    </row>
    <row r="436" spans="37:45" x14ac:dyDescent="0.25">
      <c r="AK436" s="73"/>
      <c r="AL436" s="73"/>
      <c r="AM436" s="73"/>
      <c r="AN436" s="73"/>
      <c r="AO436" s="73"/>
      <c r="AP436" s="73"/>
      <c r="AQ436" s="73"/>
      <c r="AR436" s="73"/>
      <c r="AS436" s="73"/>
    </row>
    <row r="437" spans="37:45" x14ac:dyDescent="0.25">
      <c r="AK437" s="73"/>
      <c r="AL437" s="73"/>
      <c r="AM437" s="73"/>
      <c r="AN437" s="73"/>
      <c r="AO437" s="73"/>
      <c r="AP437" s="73"/>
      <c r="AQ437" s="73"/>
      <c r="AR437" s="73"/>
      <c r="AS437" s="73"/>
    </row>
    <row r="438" spans="37:45" x14ac:dyDescent="0.25">
      <c r="AK438" s="73"/>
      <c r="AL438" s="73"/>
      <c r="AM438" s="73"/>
      <c r="AN438" s="73"/>
      <c r="AO438" s="73"/>
      <c r="AP438" s="73"/>
      <c r="AQ438" s="73"/>
      <c r="AR438" s="73"/>
      <c r="AS438" s="73"/>
    </row>
    <row r="439" spans="37:45" x14ac:dyDescent="0.25">
      <c r="AK439" s="73"/>
      <c r="AL439" s="73"/>
      <c r="AM439" s="73"/>
      <c r="AN439" s="73"/>
      <c r="AO439" s="73"/>
      <c r="AP439" s="73"/>
      <c r="AQ439" s="73"/>
      <c r="AR439" s="73"/>
      <c r="AS439" s="73"/>
    </row>
    <row r="440" spans="37:45" x14ac:dyDescent="0.25">
      <c r="AK440" s="73"/>
      <c r="AL440" s="73"/>
      <c r="AM440" s="73"/>
      <c r="AN440" s="73"/>
      <c r="AO440" s="73"/>
      <c r="AP440" s="73"/>
      <c r="AQ440" s="73"/>
      <c r="AR440" s="73"/>
      <c r="AS440" s="73"/>
    </row>
    <row r="441" spans="37:45" x14ac:dyDescent="0.25">
      <c r="AK441" s="73"/>
      <c r="AL441" s="73"/>
      <c r="AM441" s="73"/>
      <c r="AN441" s="73"/>
      <c r="AO441" s="73"/>
      <c r="AP441" s="73"/>
      <c r="AQ441" s="73"/>
      <c r="AR441" s="73"/>
      <c r="AS441" s="73"/>
    </row>
    <row r="442" spans="37:45" x14ac:dyDescent="0.25">
      <c r="AK442" s="73"/>
      <c r="AL442" s="73"/>
      <c r="AM442" s="73"/>
      <c r="AN442" s="73"/>
      <c r="AO442" s="73"/>
      <c r="AP442" s="73"/>
      <c r="AQ442" s="73"/>
      <c r="AR442" s="73"/>
      <c r="AS442" s="73"/>
    </row>
    <row r="443" spans="37:45" x14ac:dyDescent="0.25">
      <c r="AK443" s="73"/>
      <c r="AL443" s="73"/>
      <c r="AM443" s="73"/>
      <c r="AN443" s="73"/>
      <c r="AO443" s="73"/>
      <c r="AP443" s="73"/>
      <c r="AQ443" s="73"/>
      <c r="AR443" s="73"/>
      <c r="AS443" s="73"/>
    </row>
    <row r="444" spans="37:45" x14ac:dyDescent="0.25">
      <c r="AK444" s="73"/>
      <c r="AL444" s="73"/>
      <c r="AM444" s="73"/>
      <c r="AN444" s="73"/>
      <c r="AO444" s="73"/>
      <c r="AP444" s="73"/>
      <c r="AQ444" s="73"/>
      <c r="AR444" s="73"/>
      <c r="AS444" s="73"/>
    </row>
    <row r="445" spans="37:45" x14ac:dyDescent="0.25">
      <c r="AK445" s="73"/>
      <c r="AL445" s="73"/>
      <c r="AM445" s="73"/>
      <c r="AN445" s="73"/>
      <c r="AO445" s="73"/>
      <c r="AP445" s="73"/>
      <c r="AQ445" s="73"/>
      <c r="AR445" s="73"/>
      <c r="AS445" s="73"/>
    </row>
    <row r="446" spans="37:45" x14ac:dyDescent="0.25">
      <c r="AK446" s="73"/>
      <c r="AL446" s="73"/>
      <c r="AM446" s="73"/>
      <c r="AN446" s="73"/>
      <c r="AO446" s="73"/>
      <c r="AP446" s="73"/>
      <c r="AQ446" s="73"/>
      <c r="AR446" s="73"/>
      <c r="AS446" s="73"/>
    </row>
    <row r="447" spans="37:45" x14ac:dyDescent="0.25">
      <c r="AK447" s="73"/>
      <c r="AL447" s="73"/>
      <c r="AM447" s="73"/>
      <c r="AN447" s="73"/>
      <c r="AO447" s="73"/>
      <c r="AP447" s="73"/>
      <c r="AQ447" s="73"/>
      <c r="AR447" s="73"/>
      <c r="AS447" s="73"/>
    </row>
    <row r="448" spans="37:45" x14ac:dyDescent="0.25">
      <c r="AK448" s="73"/>
      <c r="AL448" s="73"/>
      <c r="AM448" s="73"/>
      <c r="AN448" s="73"/>
      <c r="AO448" s="73"/>
      <c r="AP448" s="73"/>
      <c r="AQ448" s="73"/>
      <c r="AR448" s="73"/>
      <c r="AS448" s="73"/>
    </row>
    <row r="449" spans="37:45" x14ac:dyDescent="0.25">
      <c r="AK449" s="73"/>
      <c r="AL449" s="73"/>
      <c r="AM449" s="73"/>
      <c r="AN449" s="73"/>
      <c r="AO449" s="73"/>
      <c r="AP449" s="73"/>
      <c r="AQ449" s="73"/>
      <c r="AR449" s="73"/>
      <c r="AS449" s="73"/>
    </row>
    <row r="450" spans="37:45" x14ac:dyDescent="0.25">
      <c r="AK450" s="73"/>
      <c r="AL450" s="73"/>
      <c r="AM450" s="73"/>
      <c r="AN450" s="73"/>
      <c r="AO450" s="73"/>
      <c r="AP450" s="73"/>
      <c r="AQ450" s="73"/>
      <c r="AR450" s="73"/>
      <c r="AS450" s="73"/>
    </row>
    <row r="451" spans="37:45" x14ac:dyDescent="0.25">
      <c r="AK451" s="73"/>
      <c r="AL451" s="73"/>
      <c r="AM451" s="73"/>
      <c r="AN451" s="73"/>
      <c r="AO451" s="73"/>
      <c r="AP451" s="73"/>
      <c r="AQ451" s="73"/>
      <c r="AR451" s="73"/>
      <c r="AS451" s="73"/>
    </row>
    <row r="452" spans="37:45" x14ac:dyDescent="0.25">
      <c r="AK452" s="73"/>
      <c r="AL452" s="73"/>
      <c r="AM452" s="73"/>
      <c r="AN452" s="73"/>
      <c r="AO452" s="73"/>
      <c r="AP452" s="73"/>
      <c r="AQ452" s="73"/>
      <c r="AR452" s="73"/>
      <c r="AS452" s="73"/>
    </row>
    <row r="453" spans="37:45" x14ac:dyDescent="0.25">
      <c r="AK453" s="73"/>
      <c r="AL453" s="73"/>
      <c r="AM453" s="73"/>
      <c r="AN453" s="73"/>
      <c r="AO453" s="73"/>
      <c r="AP453" s="73"/>
      <c r="AQ453" s="73"/>
      <c r="AR453" s="73"/>
      <c r="AS453" s="73"/>
    </row>
    <row r="454" spans="37:45" x14ac:dyDescent="0.25">
      <c r="AK454" s="73"/>
      <c r="AL454" s="73"/>
      <c r="AM454" s="73"/>
      <c r="AN454" s="73"/>
      <c r="AO454" s="73"/>
      <c r="AP454" s="73"/>
      <c r="AQ454" s="73"/>
      <c r="AR454" s="73"/>
      <c r="AS454" s="73"/>
    </row>
    <row r="455" spans="37:45" x14ac:dyDescent="0.25">
      <c r="AK455" s="73"/>
      <c r="AL455" s="73"/>
      <c r="AM455" s="73"/>
      <c r="AN455" s="73"/>
      <c r="AO455" s="73"/>
      <c r="AP455" s="73"/>
      <c r="AQ455" s="73"/>
      <c r="AR455" s="73"/>
      <c r="AS455" s="73"/>
    </row>
    <row r="456" spans="37:45" x14ac:dyDescent="0.25">
      <c r="AK456" s="73"/>
      <c r="AL456" s="73"/>
      <c r="AM456" s="73"/>
      <c r="AN456" s="73"/>
      <c r="AO456" s="73"/>
      <c r="AP456" s="73"/>
      <c r="AQ456" s="73"/>
      <c r="AR456" s="73"/>
      <c r="AS456" s="73"/>
    </row>
    <row r="457" spans="37:45" x14ac:dyDescent="0.25">
      <c r="AK457" s="73"/>
      <c r="AL457" s="73"/>
      <c r="AM457" s="73"/>
      <c r="AN457" s="73"/>
      <c r="AO457" s="73"/>
      <c r="AP457" s="73"/>
      <c r="AQ457" s="73"/>
      <c r="AR457" s="73"/>
      <c r="AS457" s="73"/>
    </row>
    <row r="458" spans="37:45" x14ac:dyDescent="0.25">
      <c r="AK458" s="73"/>
      <c r="AL458" s="73"/>
      <c r="AM458" s="73"/>
      <c r="AN458" s="73"/>
      <c r="AO458" s="73"/>
      <c r="AP458" s="73"/>
      <c r="AQ458" s="73"/>
      <c r="AR458" s="73"/>
      <c r="AS458" s="73"/>
    </row>
    <row r="459" spans="37:45" x14ac:dyDescent="0.25">
      <c r="AK459" s="73"/>
      <c r="AL459" s="73"/>
      <c r="AM459" s="73"/>
      <c r="AN459" s="73"/>
      <c r="AO459" s="73"/>
      <c r="AP459" s="73"/>
      <c r="AQ459" s="73"/>
      <c r="AR459" s="73"/>
      <c r="AS459" s="73"/>
    </row>
    <row r="460" spans="37:45" x14ac:dyDescent="0.25">
      <c r="AK460" s="73"/>
      <c r="AL460" s="73"/>
      <c r="AM460" s="73"/>
      <c r="AN460" s="73"/>
      <c r="AO460" s="73"/>
      <c r="AP460" s="73"/>
      <c r="AQ460" s="73"/>
      <c r="AR460" s="73"/>
      <c r="AS460" s="73"/>
    </row>
    <row r="461" spans="37:45" x14ac:dyDescent="0.25">
      <c r="AK461" s="73"/>
      <c r="AL461" s="73"/>
      <c r="AM461" s="73"/>
      <c r="AN461" s="73"/>
      <c r="AO461" s="73"/>
      <c r="AP461" s="73"/>
      <c r="AQ461" s="73"/>
      <c r="AR461" s="73"/>
      <c r="AS461" s="73"/>
    </row>
    <row r="462" spans="37:45" x14ac:dyDescent="0.25">
      <c r="AK462" s="73"/>
      <c r="AL462" s="73"/>
      <c r="AM462" s="73"/>
      <c r="AN462" s="73"/>
      <c r="AO462" s="73"/>
      <c r="AP462" s="73"/>
      <c r="AQ462" s="73"/>
      <c r="AR462" s="73"/>
      <c r="AS462" s="73"/>
    </row>
    <row r="463" spans="37:45" x14ac:dyDescent="0.25">
      <c r="AK463" s="73"/>
      <c r="AL463" s="73"/>
      <c r="AM463" s="73"/>
      <c r="AN463" s="73"/>
      <c r="AO463" s="73"/>
      <c r="AP463" s="73"/>
      <c r="AQ463" s="73"/>
      <c r="AR463" s="73"/>
      <c r="AS463" s="73"/>
    </row>
    <row r="464" spans="37:45" x14ac:dyDescent="0.25">
      <c r="AK464" s="73"/>
      <c r="AL464" s="73"/>
      <c r="AM464" s="73"/>
      <c r="AN464" s="73"/>
      <c r="AO464" s="73"/>
      <c r="AP464" s="73"/>
      <c r="AQ464" s="73"/>
      <c r="AR464" s="73"/>
      <c r="AS464" s="73"/>
    </row>
    <row r="465" spans="37:45" x14ac:dyDescent="0.25">
      <c r="AK465" s="73"/>
      <c r="AL465" s="73"/>
      <c r="AM465" s="73"/>
      <c r="AN465" s="73"/>
      <c r="AO465" s="73"/>
      <c r="AP465" s="73"/>
      <c r="AQ465" s="73"/>
      <c r="AR465" s="73"/>
      <c r="AS465" s="73"/>
    </row>
    <row r="466" spans="37:45" x14ac:dyDescent="0.25">
      <c r="AK466" s="73"/>
      <c r="AL466" s="73"/>
      <c r="AM466" s="73"/>
      <c r="AN466" s="73"/>
      <c r="AO466" s="73"/>
      <c r="AP466" s="73"/>
      <c r="AQ466" s="73"/>
      <c r="AR466" s="73"/>
      <c r="AS466" s="73"/>
    </row>
    <row r="467" spans="37:45" x14ac:dyDescent="0.25">
      <c r="AK467" s="73"/>
      <c r="AL467" s="73"/>
      <c r="AM467" s="73"/>
      <c r="AN467" s="73"/>
      <c r="AO467" s="73"/>
      <c r="AP467" s="73"/>
      <c r="AQ467" s="73"/>
      <c r="AR467" s="73"/>
      <c r="AS467" s="73"/>
    </row>
    <row r="468" spans="37:45" x14ac:dyDescent="0.25">
      <c r="AK468" s="73"/>
      <c r="AL468" s="73"/>
      <c r="AM468" s="73"/>
      <c r="AN468" s="73"/>
      <c r="AO468" s="73"/>
      <c r="AP468" s="73"/>
      <c r="AQ468" s="73"/>
      <c r="AR468" s="73"/>
      <c r="AS468" s="73"/>
    </row>
    <row r="469" spans="37:45" x14ac:dyDescent="0.25">
      <c r="AK469" s="73"/>
      <c r="AL469" s="73"/>
      <c r="AM469" s="73"/>
      <c r="AN469" s="73"/>
      <c r="AO469" s="73"/>
      <c r="AP469" s="73"/>
      <c r="AQ469" s="73"/>
      <c r="AR469" s="73"/>
      <c r="AS469" s="73"/>
    </row>
    <row r="470" spans="37:45" x14ac:dyDescent="0.25">
      <c r="AK470" s="73"/>
      <c r="AL470" s="73"/>
      <c r="AM470" s="73"/>
      <c r="AN470" s="73"/>
      <c r="AO470" s="73"/>
      <c r="AP470" s="73"/>
      <c r="AQ470" s="73"/>
      <c r="AR470" s="73"/>
      <c r="AS470" s="73"/>
    </row>
    <row r="471" spans="37:45" x14ac:dyDescent="0.25">
      <c r="AK471" s="73"/>
      <c r="AL471" s="73"/>
      <c r="AM471" s="73"/>
      <c r="AN471" s="73"/>
      <c r="AO471" s="73"/>
      <c r="AP471" s="73"/>
      <c r="AQ471" s="73"/>
      <c r="AR471" s="73"/>
      <c r="AS471" s="73"/>
    </row>
    <row r="472" spans="37:45" x14ac:dyDescent="0.25">
      <c r="AK472" s="73"/>
      <c r="AL472" s="73"/>
      <c r="AM472" s="73"/>
      <c r="AN472" s="73"/>
      <c r="AO472" s="73"/>
      <c r="AP472" s="73"/>
      <c r="AQ472" s="73"/>
      <c r="AR472" s="73"/>
      <c r="AS472" s="73"/>
    </row>
    <row r="473" spans="37:45" x14ac:dyDescent="0.25">
      <c r="AK473" s="73"/>
      <c r="AL473" s="73"/>
      <c r="AM473" s="73"/>
      <c r="AN473" s="73"/>
      <c r="AO473" s="73"/>
      <c r="AP473" s="73"/>
      <c r="AQ473" s="73"/>
      <c r="AR473" s="73"/>
      <c r="AS473" s="73"/>
    </row>
    <row r="474" spans="37:45" x14ac:dyDescent="0.25">
      <c r="AK474" s="73"/>
      <c r="AL474" s="73"/>
      <c r="AM474" s="73"/>
      <c r="AN474" s="73"/>
      <c r="AO474" s="73"/>
      <c r="AP474" s="73"/>
      <c r="AQ474" s="73"/>
      <c r="AR474" s="73"/>
      <c r="AS474" s="73"/>
    </row>
    <row r="475" spans="37:45" x14ac:dyDescent="0.25">
      <c r="AK475" s="73"/>
      <c r="AL475" s="73"/>
      <c r="AM475" s="73"/>
      <c r="AN475" s="73"/>
      <c r="AO475" s="73"/>
      <c r="AP475" s="73"/>
      <c r="AQ475" s="73"/>
      <c r="AR475" s="73"/>
      <c r="AS475" s="73"/>
    </row>
    <row r="476" spans="37:45" x14ac:dyDescent="0.25">
      <c r="AK476" s="73"/>
      <c r="AL476" s="73"/>
      <c r="AM476" s="73"/>
      <c r="AN476" s="73"/>
      <c r="AO476" s="73"/>
      <c r="AP476" s="73"/>
      <c r="AQ476" s="73"/>
      <c r="AR476" s="73"/>
      <c r="AS476" s="73"/>
    </row>
    <row r="477" spans="37:45" x14ac:dyDescent="0.25">
      <c r="AK477" s="73"/>
      <c r="AL477" s="73"/>
      <c r="AM477" s="73"/>
      <c r="AN477" s="73"/>
      <c r="AO477" s="73"/>
      <c r="AP477" s="73"/>
      <c r="AQ477" s="73"/>
      <c r="AR477" s="73"/>
      <c r="AS477" s="73"/>
    </row>
    <row r="478" spans="37:45" x14ac:dyDescent="0.25">
      <c r="AK478" s="73"/>
      <c r="AL478" s="73"/>
      <c r="AM478" s="73"/>
      <c r="AN478" s="73"/>
      <c r="AO478" s="73"/>
      <c r="AP478" s="73"/>
      <c r="AQ478" s="73"/>
      <c r="AR478" s="73"/>
      <c r="AS478" s="73"/>
    </row>
    <row r="479" spans="37:45" x14ac:dyDescent="0.25">
      <c r="AK479" s="73"/>
      <c r="AL479" s="73"/>
      <c r="AM479" s="73"/>
      <c r="AN479" s="73"/>
      <c r="AO479" s="73"/>
      <c r="AP479" s="73"/>
      <c r="AQ479" s="73"/>
      <c r="AR479" s="73"/>
      <c r="AS479" s="73"/>
    </row>
    <row r="480" spans="37:45" x14ac:dyDescent="0.25">
      <c r="AK480" s="73"/>
      <c r="AL480" s="73"/>
      <c r="AM480" s="73"/>
      <c r="AN480" s="73"/>
      <c r="AO480" s="73"/>
      <c r="AP480" s="73"/>
      <c r="AQ480" s="73"/>
      <c r="AR480" s="73"/>
      <c r="AS480" s="73"/>
    </row>
    <row r="481" spans="37:45" x14ac:dyDescent="0.25">
      <c r="AK481" s="73"/>
      <c r="AL481" s="73"/>
      <c r="AM481" s="73"/>
      <c r="AN481" s="73"/>
      <c r="AO481" s="73"/>
      <c r="AP481" s="73"/>
      <c r="AQ481" s="73"/>
      <c r="AR481" s="73"/>
      <c r="AS481" s="73"/>
    </row>
    <row r="482" spans="37:45" x14ac:dyDescent="0.25">
      <c r="AK482" s="73"/>
      <c r="AL482" s="73"/>
      <c r="AM482" s="73"/>
      <c r="AN482" s="73"/>
      <c r="AO482" s="73"/>
      <c r="AP482" s="73"/>
      <c r="AQ482" s="73"/>
      <c r="AR482" s="73"/>
      <c r="AS482" s="73"/>
    </row>
    <row r="483" spans="37:45" x14ac:dyDescent="0.25">
      <c r="AK483" s="73"/>
      <c r="AL483" s="73"/>
      <c r="AM483" s="73"/>
      <c r="AN483" s="73"/>
      <c r="AO483" s="73"/>
      <c r="AP483" s="73"/>
      <c r="AQ483" s="73"/>
      <c r="AR483" s="73"/>
      <c r="AS483" s="73"/>
    </row>
    <row r="484" spans="37:45" x14ac:dyDescent="0.25">
      <c r="AK484" s="73"/>
      <c r="AL484" s="73"/>
      <c r="AM484" s="73"/>
      <c r="AN484" s="73"/>
      <c r="AO484" s="73"/>
      <c r="AP484" s="73"/>
      <c r="AQ484" s="73"/>
      <c r="AR484" s="73"/>
      <c r="AS484" s="73"/>
    </row>
    <row r="485" spans="37:45" x14ac:dyDescent="0.25">
      <c r="AK485" s="73"/>
      <c r="AL485" s="73"/>
      <c r="AM485" s="73"/>
      <c r="AN485" s="73"/>
      <c r="AO485" s="73"/>
      <c r="AP485" s="73"/>
      <c r="AQ485" s="73"/>
      <c r="AR485" s="73"/>
      <c r="AS485" s="73"/>
    </row>
    <row r="486" spans="37:45" x14ac:dyDescent="0.25">
      <c r="AK486" s="73"/>
      <c r="AL486" s="73"/>
      <c r="AM486" s="73"/>
      <c r="AN486" s="73"/>
      <c r="AO486" s="73"/>
      <c r="AP486" s="73"/>
      <c r="AQ486" s="73"/>
      <c r="AR486" s="73"/>
      <c r="AS486" s="73"/>
    </row>
    <row r="487" spans="37:45" x14ac:dyDescent="0.25">
      <c r="AK487" s="73"/>
      <c r="AL487" s="73"/>
      <c r="AM487" s="73"/>
      <c r="AN487" s="73"/>
      <c r="AO487" s="73"/>
      <c r="AP487" s="73"/>
      <c r="AQ487" s="73"/>
      <c r="AR487" s="73"/>
      <c r="AS487" s="73"/>
    </row>
    <row r="488" spans="37:45" x14ac:dyDescent="0.25">
      <c r="AK488" s="73"/>
      <c r="AL488" s="73"/>
      <c r="AM488" s="73"/>
      <c r="AN488" s="73"/>
      <c r="AO488" s="73"/>
      <c r="AP488" s="73"/>
      <c r="AQ488" s="73"/>
      <c r="AR488" s="73"/>
      <c r="AS488" s="73"/>
    </row>
    <row r="489" spans="37:45" x14ac:dyDescent="0.25">
      <c r="AK489" s="73"/>
      <c r="AL489" s="73"/>
      <c r="AM489" s="73"/>
      <c r="AN489" s="73"/>
      <c r="AO489" s="73"/>
      <c r="AP489" s="73"/>
      <c r="AQ489" s="73"/>
      <c r="AR489" s="73"/>
      <c r="AS489" s="73"/>
    </row>
    <row r="490" spans="37:45" x14ac:dyDescent="0.25">
      <c r="AK490" s="73"/>
      <c r="AL490" s="73"/>
      <c r="AM490" s="73"/>
      <c r="AN490" s="73"/>
      <c r="AO490" s="73"/>
      <c r="AP490" s="73"/>
      <c r="AQ490" s="73"/>
      <c r="AR490" s="73"/>
      <c r="AS490" s="73"/>
    </row>
    <row r="491" spans="37:45" x14ac:dyDescent="0.25">
      <c r="AK491" s="73"/>
      <c r="AL491" s="73"/>
      <c r="AM491" s="73"/>
      <c r="AN491" s="73"/>
      <c r="AO491" s="73"/>
      <c r="AP491" s="73"/>
      <c r="AQ491" s="73"/>
      <c r="AR491" s="73"/>
      <c r="AS491" s="73"/>
    </row>
    <row r="492" spans="37:45" x14ac:dyDescent="0.25">
      <c r="AK492" s="73"/>
      <c r="AL492" s="73"/>
      <c r="AM492" s="73"/>
      <c r="AN492" s="73"/>
      <c r="AO492" s="73"/>
      <c r="AP492" s="73"/>
      <c r="AQ492" s="73"/>
      <c r="AR492" s="73"/>
      <c r="AS492" s="73"/>
    </row>
    <row r="493" spans="37:45" x14ac:dyDescent="0.25">
      <c r="AK493" s="73"/>
      <c r="AL493" s="73"/>
      <c r="AM493" s="73"/>
      <c r="AN493" s="73"/>
      <c r="AO493" s="73"/>
      <c r="AP493" s="73"/>
      <c r="AQ493" s="73"/>
      <c r="AR493" s="73"/>
      <c r="AS493" s="73"/>
    </row>
    <row r="494" spans="37:45" x14ac:dyDescent="0.25">
      <c r="AK494" s="73"/>
      <c r="AL494" s="73"/>
      <c r="AM494" s="73"/>
      <c r="AN494" s="73"/>
      <c r="AO494" s="73"/>
      <c r="AP494" s="73"/>
      <c r="AQ494" s="73"/>
      <c r="AR494" s="73"/>
      <c r="AS494" s="73"/>
    </row>
    <row r="495" spans="37:45" x14ac:dyDescent="0.25">
      <c r="AK495" s="73"/>
      <c r="AL495" s="73"/>
      <c r="AM495" s="73"/>
      <c r="AN495" s="73"/>
      <c r="AO495" s="73"/>
      <c r="AP495" s="73"/>
      <c r="AQ495" s="73"/>
      <c r="AR495" s="73"/>
      <c r="AS495" s="73"/>
    </row>
    <row r="496" spans="37:45" x14ac:dyDescent="0.25">
      <c r="AK496" s="73"/>
      <c r="AL496" s="73"/>
      <c r="AM496" s="73"/>
      <c r="AN496" s="73"/>
      <c r="AO496" s="73"/>
      <c r="AP496" s="73"/>
      <c r="AQ496" s="73"/>
      <c r="AR496" s="73"/>
      <c r="AS496" s="73"/>
    </row>
    <row r="497" spans="37:45" x14ac:dyDescent="0.25">
      <c r="AK497" s="73"/>
      <c r="AL497" s="73"/>
      <c r="AM497" s="73"/>
      <c r="AN497" s="73"/>
      <c r="AO497" s="73"/>
      <c r="AP497" s="73"/>
      <c r="AQ497" s="73"/>
      <c r="AR497" s="73"/>
      <c r="AS497" s="73"/>
    </row>
    <row r="498" spans="37:45" x14ac:dyDescent="0.25">
      <c r="AK498" s="73"/>
      <c r="AL498" s="73"/>
      <c r="AM498" s="73"/>
      <c r="AN498" s="73"/>
      <c r="AO498" s="73"/>
      <c r="AP498" s="73"/>
      <c r="AQ498" s="73"/>
      <c r="AR498" s="73"/>
      <c r="AS498" s="73"/>
    </row>
    <row r="499" spans="37:45" x14ac:dyDescent="0.25">
      <c r="AK499" s="73"/>
      <c r="AL499" s="73"/>
      <c r="AM499" s="73"/>
      <c r="AN499" s="73"/>
      <c r="AO499" s="73"/>
      <c r="AP499" s="73"/>
      <c r="AQ499" s="73"/>
      <c r="AR499" s="73"/>
      <c r="AS499" s="73"/>
    </row>
    <row r="500" spans="37:45" x14ac:dyDescent="0.25">
      <c r="AK500" s="73"/>
      <c r="AL500" s="73"/>
      <c r="AM500" s="73"/>
      <c r="AN500" s="73"/>
      <c r="AO500" s="73"/>
      <c r="AP500" s="73"/>
      <c r="AQ500" s="73"/>
      <c r="AR500" s="73"/>
      <c r="AS500" s="73"/>
    </row>
    <row r="501" spans="37:45" x14ac:dyDescent="0.25">
      <c r="AK501" s="73"/>
      <c r="AL501" s="73"/>
      <c r="AM501" s="73"/>
      <c r="AN501" s="73"/>
      <c r="AO501" s="73"/>
      <c r="AP501" s="73"/>
      <c r="AQ501" s="73"/>
      <c r="AR501" s="73"/>
      <c r="AS501" s="73"/>
    </row>
    <row r="502" spans="37:45" x14ac:dyDescent="0.25">
      <c r="AK502" s="73"/>
      <c r="AL502" s="73"/>
      <c r="AM502" s="73"/>
      <c r="AN502" s="73"/>
      <c r="AO502" s="73"/>
      <c r="AP502" s="73"/>
      <c r="AQ502" s="73"/>
      <c r="AR502" s="73"/>
      <c r="AS502" s="73"/>
    </row>
    <row r="503" spans="37:45" x14ac:dyDescent="0.25">
      <c r="AK503" s="73"/>
      <c r="AL503" s="73"/>
      <c r="AM503" s="73"/>
      <c r="AN503" s="73"/>
      <c r="AO503" s="73"/>
      <c r="AP503" s="73"/>
      <c r="AQ503" s="73"/>
      <c r="AR503" s="73"/>
      <c r="AS503" s="73"/>
    </row>
    <row r="504" spans="37:45" x14ac:dyDescent="0.25">
      <c r="AK504" s="73"/>
      <c r="AL504" s="73"/>
      <c r="AM504" s="73"/>
      <c r="AN504" s="73"/>
      <c r="AO504" s="73"/>
      <c r="AP504" s="73"/>
      <c r="AQ504" s="73"/>
      <c r="AR504" s="73"/>
      <c r="AS504" s="73"/>
    </row>
    <row r="505" spans="37:45" x14ac:dyDescent="0.25">
      <c r="AK505" s="73"/>
      <c r="AL505" s="73"/>
      <c r="AM505" s="73"/>
      <c r="AN505" s="73"/>
      <c r="AO505" s="73"/>
      <c r="AP505" s="73"/>
      <c r="AQ505" s="73"/>
      <c r="AR505" s="73"/>
      <c r="AS505" s="73"/>
    </row>
    <row r="506" spans="37:45" x14ac:dyDescent="0.25">
      <c r="AK506" s="73"/>
      <c r="AL506" s="73"/>
      <c r="AM506" s="73"/>
      <c r="AN506" s="73"/>
      <c r="AO506" s="73"/>
      <c r="AP506" s="73"/>
      <c r="AQ506" s="73"/>
      <c r="AR506" s="73"/>
      <c r="AS506" s="73"/>
    </row>
    <row r="507" spans="37:45" x14ac:dyDescent="0.25">
      <c r="AK507" s="73"/>
      <c r="AL507" s="73"/>
      <c r="AM507" s="73"/>
      <c r="AN507" s="73"/>
      <c r="AO507" s="73"/>
      <c r="AP507" s="73"/>
      <c r="AQ507" s="73"/>
      <c r="AR507" s="73"/>
      <c r="AS507" s="73"/>
    </row>
    <row r="508" spans="37:45" x14ac:dyDescent="0.25">
      <c r="AK508" s="73"/>
      <c r="AL508" s="73"/>
      <c r="AM508" s="73"/>
      <c r="AN508" s="73"/>
      <c r="AO508" s="73"/>
      <c r="AP508" s="73"/>
      <c r="AQ508" s="73"/>
      <c r="AR508" s="73"/>
      <c r="AS508" s="73"/>
    </row>
    <row r="509" spans="37:45" x14ac:dyDescent="0.25">
      <c r="AK509" s="73"/>
      <c r="AL509" s="73"/>
      <c r="AM509" s="73"/>
      <c r="AN509" s="73"/>
      <c r="AO509" s="73"/>
      <c r="AP509" s="73"/>
      <c r="AQ509" s="73"/>
      <c r="AR509" s="73"/>
      <c r="AS509" s="73"/>
    </row>
    <row r="510" spans="37:45" x14ac:dyDescent="0.25">
      <c r="AK510" s="73"/>
      <c r="AL510" s="73"/>
      <c r="AM510" s="73"/>
      <c r="AN510" s="73"/>
      <c r="AO510" s="73"/>
      <c r="AP510" s="73"/>
      <c r="AQ510" s="73"/>
      <c r="AR510" s="73"/>
      <c r="AS510" s="73"/>
    </row>
    <row r="511" spans="37:45" x14ac:dyDescent="0.25">
      <c r="AK511" s="73"/>
      <c r="AL511" s="73"/>
      <c r="AM511" s="73"/>
      <c r="AN511" s="73"/>
      <c r="AO511" s="73"/>
      <c r="AP511" s="73"/>
      <c r="AQ511" s="73"/>
      <c r="AR511" s="73"/>
      <c r="AS511" s="73"/>
    </row>
    <row r="512" spans="37:45" x14ac:dyDescent="0.25">
      <c r="AK512" s="73"/>
      <c r="AL512" s="73"/>
      <c r="AM512" s="73"/>
      <c r="AN512" s="73"/>
      <c r="AO512" s="73"/>
      <c r="AP512" s="73"/>
      <c r="AQ512" s="73"/>
      <c r="AR512" s="73"/>
      <c r="AS512" s="73"/>
    </row>
    <row r="513" spans="37:45" x14ac:dyDescent="0.25">
      <c r="AK513" s="73"/>
      <c r="AL513" s="73"/>
      <c r="AM513" s="73"/>
      <c r="AN513" s="73"/>
      <c r="AO513" s="73"/>
      <c r="AP513" s="73"/>
      <c r="AQ513" s="73"/>
      <c r="AR513" s="73"/>
      <c r="AS513" s="73"/>
    </row>
    <row r="514" spans="37:45" x14ac:dyDescent="0.25">
      <c r="AK514" s="73"/>
      <c r="AL514" s="73"/>
      <c r="AM514" s="73"/>
      <c r="AN514" s="73"/>
      <c r="AO514" s="73"/>
      <c r="AP514" s="73"/>
      <c r="AQ514" s="73"/>
      <c r="AR514" s="73"/>
      <c r="AS514" s="73"/>
    </row>
    <row r="515" spans="37:45" x14ac:dyDescent="0.25">
      <c r="AK515" s="73"/>
      <c r="AL515" s="73"/>
      <c r="AM515" s="73"/>
      <c r="AN515" s="73"/>
      <c r="AO515" s="73"/>
      <c r="AP515" s="73"/>
      <c r="AQ515" s="73"/>
      <c r="AR515" s="73"/>
      <c r="AS515" s="73"/>
    </row>
    <row r="516" spans="37:45" x14ac:dyDescent="0.25">
      <c r="AK516" s="73"/>
      <c r="AL516" s="73"/>
      <c r="AM516" s="73"/>
      <c r="AN516" s="73"/>
      <c r="AO516" s="73"/>
      <c r="AP516" s="73"/>
      <c r="AQ516" s="73"/>
      <c r="AR516" s="73"/>
      <c r="AS516" s="73"/>
    </row>
    <row r="517" spans="37:45" x14ac:dyDescent="0.25">
      <c r="AK517" s="73"/>
      <c r="AL517" s="73"/>
      <c r="AM517" s="73"/>
      <c r="AN517" s="73"/>
      <c r="AO517" s="73"/>
      <c r="AP517" s="73"/>
      <c r="AQ517" s="73"/>
      <c r="AR517" s="73"/>
      <c r="AS517" s="73"/>
    </row>
    <row r="518" spans="37:45" x14ac:dyDescent="0.25">
      <c r="AK518" s="73"/>
      <c r="AL518" s="73"/>
      <c r="AM518" s="73"/>
      <c r="AN518" s="73"/>
      <c r="AO518" s="73"/>
      <c r="AP518" s="73"/>
      <c r="AQ518" s="73"/>
      <c r="AR518" s="73"/>
      <c r="AS518" s="73"/>
    </row>
    <row r="519" spans="37:45" x14ac:dyDescent="0.25">
      <c r="AK519" s="73"/>
      <c r="AL519" s="73"/>
      <c r="AM519" s="73"/>
      <c r="AN519" s="73"/>
      <c r="AO519" s="73"/>
      <c r="AP519" s="73"/>
      <c r="AQ519" s="73"/>
      <c r="AR519" s="73"/>
      <c r="AS519" s="73"/>
    </row>
    <row r="520" spans="37:45" x14ac:dyDescent="0.25">
      <c r="AK520" s="73"/>
      <c r="AL520" s="73"/>
      <c r="AM520" s="73"/>
      <c r="AN520" s="73"/>
      <c r="AO520" s="73"/>
      <c r="AP520" s="73"/>
      <c r="AQ520" s="73"/>
      <c r="AR520" s="73"/>
      <c r="AS520" s="73"/>
    </row>
    <row r="521" spans="37:45" x14ac:dyDescent="0.25">
      <c r="AK521" s="73"/>
      <c r="AL521" s="73"/>
      <c r="AM521" s="73"/>
      <c r="AN521" s="73"/>
      <c r="AO521" s="73"/>
      <c r="AP521" s="73"/>
      <c r="AQ521" s="73"/>
      <c r="AR521" s="73"/>
      <c r="AS521" s="73"/>
    </row>
    <row r="522" spans="37:45" x14ac:dyDescent="0.25">
      <c r="AK522" s="73"/>
      <c r="AL522" s="73"/>
      <c r="AM522" s="73"/>
      <c r="AN522" s="73"/>
      <c r="AO522" s="73"/>
      <c r="AP522" s="73"/>
      <c r="AQ522" s="73"/>
      <c r="AR522" s="73"/>
      <c r="AS522" s="73"/>
    </row>
    <row r="523" spans="37:45" x14ac:dyDescent="0.25">
      <c r="AK523" s="73"/>
      <c r="AL523" s="73"/>
      <c r="AM523" s="73"/>
      <c r="AN523" s="73"/>
      <c r="AO523" s="73"/>
      <c r="AP523" s="73"/>
      <c r="AQ523" s="73"/>
      <c r="AR523" s="73"/>
      <c r="AS523" s="73"/>
    </row>
    <row r="524" spans="37:45" x14ac:dyDescent="0.25">
      <c r="AK524" s="73"/>
      <c r="AL524" s="73"/>
      <c r="AM524" s="73"/>
      <c r="AN524" s="73"/>
      <c r="AO524" s="73"/>
      <c r="AP524" s="73"/>
      <c r="AQ524" s="73"/>
      <c r="AR524" s="73"/>
      <c r="AS524" s="73"/>
    </row>
    <row r="525" spans="37:45" x14ac:dyDescent="0.25">
      <c r="AK525" s="73"/>
      <c r="AL525" s="73"/>
      <c r="AM525" s="73"/>
      <c r="AN525" s="73"/>
      <c r="AO525" s="73"/>
      <c r="AP525" s="73"/>
      <c r="AQ525" s="73"/>
      <c r="AR525" s="73"/>
      <c r="AS525" s="73"/>
    </row>
    <row r="526" spans="37:45" x14ac:dyDescent="0.25">
      <c r="AK526" s="73"/>
      <c r="AL526" s="73"/>
      <c r="AM526" s="73"/>
      <c r="AN526" s="73"/>
      <c r="AO526" s="73"/>
      <c r="AP526" s="73"/>
      <c r="AQ526" s="73"/>
      <c r="AR526" s="73"/>
      <c r="AS526" s="73"/>
    </row>
    <row r="527" spans="37:45" x14ac:dyDescent="0.25">
      <c r="AK527" s="73"/>
      <c r="AL527" s="73"/>
      <c r="AM527" s="73"/>
      <c r="AN527" s="73"/>
      <c r="AO527" s="73"/>
      <c r="AP527" s="73"/>
      <c r="AQ527" s="73"/>
      <c r="AR527" s="73"/>
      <c r="AS527" s="73"/>
    </row>
    <row r="528" spans="37:45" x14ac:dyDescent="0.25">
      <c r="AK528" s="73"/>
      <c r="AL528" s="73"/>
      <c r="AM528" s="73"/>
      <c r="AN528" s="73"/>
      <c r="AO528" s="73"/>
      <c r="AP528" s="73"/>
      <c r="AQ528" s="73"/>
      <c r="AR528" s="73"/>
      <c r="AS528" s="73"/>
    </row>
    <row r="529" spans="37:45" x14ac:dyDescent="0.25">
      <c r="AK529" s="73"/>
      <c r="AL529" s="73"/>
      <c r="AM529" s="73"/>
      <c r="AN529" s="73"/>
      <c r="AO529" s="73"/>
      <c r="AP529" s="73"/>
      <c r="AQ529" s="73"/>
      <c r="AR529" s="73"/>
      <c r="AS529" s="73"/>
    </row>
    <row r="530" spans="37:45" x14ac:dyDescent="0.25">
      <c r="AK530" s="73"/>
      <c r="AL530" s="73"/>
      <c r="AM530" s="73"/>
      <c r="AN530" s="73"/>
      <c r="AO530" s="73"/>
      <c r="AP530" s="73"/>
      <c r="AQ530" s="73"/>
      <c r="AR530" s="73"/>
      <c r="AS530" s="73"/>
    </row>
    <row r="531" spans="37:45" x14ac:dyDescent="0.25">
      <c r="AK531" s="73"/>
      <c r="AL531" s="73"/>
      <c r="AM531" s="73"/>
      <c r="AN531" s="73"/>
      <c r="AO531" s="73"/>
      <c r="AP531" s="73"/>
      <c r="AQ531" s="73"/>
      <c r="AR531" s="73"/>
      <c r="AS531" s="73"/>
    </row>
    <row r="532" spans="37:45" x14ac:dyDescent="0.25">
      <c r="AK532" s="73"/>
      <c r="AL532" s="73"/>
      <c r="AM532" s="73"/>
      <c r="AN532" s="73"/>
      <c r="AO532" s="73"/>
      <c r="AP532" s="73"/>
      <c r="AQ532" s="73"/>
      <c r="AR532" s="73"/>
      <c r="AS532" s="73"/>
    </row>
    <row r="533" spans="37:45" x14ac:dyDescent="0.25">
      <c r="AK533" s="73"/>
      <c r="AL533" s="73"/>
      <c r="AM533" s="73"/>
      <c r="AN533" s="73"/>
      <c r="AO533" s="73"/>
      <c r="AP533" s="73"/>
      <c r="AQ533" s="73"/>
      <c r="AR533" s="73"/>
      <c r="AS533" s="73"/>
    </row>
    <row r="534" spans="37:45" x14ac:dyDescent="0.25">
      <c r="AK534" s="73"/>
      <c r="AL534" s="73"/>
      <c r="AM534" s="73"/>
      <c r="AN534" s="73"/>
      <c r="AO534" s="73"/>
      <c r="AP534" s="73"/>
      <c r="AQ534" s="73"/>
      <c r="AR534" s="73"/>
      <c r="AS534" s="73"/>
    </row>
    <row r="535" spans="37:45" x14ac:dyDescent="0.25">
      <c r="AK535" s="73"/>
      <c r="AL535" s="73"/>
      <c r="AM535" s="73"/>
      <c r="AN535" s="73"/>
      <c r="AO535" s="73"/>
      <c r="AP535" s="73"/>
      <c r="AQ535" s="73"/>
      <c r="AR535" s="73"/>
      <c r="AS535" s="73"/>
    </row>
    <row r="536" spans="37:45" x14ac:dyDescent="0.25">
      <c r="AK536" s="73"/>
      <c r="AL536" s="73"/>
      <c r="AM536" s="73"/>
      <c r="AN536" s="73"/>
      <c r="AO536" s="73"/>
      <c r="AP536" s="73"/>
      <c r="AQ536" s="73"/>
      <c r="AR536" s="73"/>
      <c r="AS536" s="73"/>
    </row>
    <row r="537" spans="37:45" x14ac:dyDescent="0.25">
      <c r="AK537" s="73"/>
      <c r="AL537" s="73"/>
      <c r="AM537" s="73"/>
      <c r="AN537" s="73"/>
      <c r="AO537" s="73"/>
      <c r="AP537" s="73"/>
      <c r="AQ537" s="73"/>
      <c r="AR537" s="73"/>
      <c r="AS537" s="73"/>
    </row>
    <row r="538" spans="37:45" x14ac:dyDescent="0.25">
      <c r="AK538" s="73"/>
      <c r="AL538" s="73"/>
      <c r="AM538" s="73"/>
      <c r="AN538" s="73"/>
      <c r="AO538" s="73"/>
      <c r="AP538" s="73"/>
      <c r="AQ538" s="73"/>
      <c r="AR538" s="73"/>
      <c r="AS538" s="73"/>
    </row>
    <row r="539" spans="37:45" x14ac:dyDescent="0.25">
      <c r="AK539" s="73"/>
      <c r="AL539" s="73"/>
      <c r="AM539" s="73"/>
      <c r="AN539" s="73"/>
      <c r="AO539" s="73"/>
      <c r="AP539" s="73"/>
      <c r="AQ539" s="73"/>
      <c r="AR539" s="73"/>
      <c r="AS539" s="73"/>
    </row>
    <row r="540" spans="37:45" x14ac:dyDescent="0.25">
      <c r="AK540" s="73"/>
      <c r="AL540" s="73"/>
      <c r="AM540" s="73"/>
      <c r="AN540" s="73"/>
      <c r="AO540" s="73"/>
      <c r="AP540" s="73"/>
      <c r="AQ540" s="73"/>
      <c r="AR540" s="73"/>
      <c r="AS540" s="73"/>
    </row>
    <row r="541" spans="37:45" x14ac:dyDescent="0.25">
      <c r="AK541" s="73"/>
      <c r="AL541" s="73"/>
      <c r="AM541" s="73"/>
      <c r="AN541" s="73"/>
      <c r="AO541" s="73"/>
      <c r="AP541" s="73"/>
      <c r="AQ541" s="73"/>
      <c r="AR541" s="73"/>
      <c r="AS541" s="73"/>
    </row>
    <row r="542" spans="37:45" x14ac:dyDescent="0.25">
      <c r="AK542" s="73"/>
      <c r="AL542" s="73"/>
      <c r="AM542" s="73"/>
      <c r="AN542" s="73"/>
      <c r="AO542" s="73"/>
      <c r="AP542" s="73"/>
      <c r="AQ542" s="73"/>
      <c r="AR542" s="73"/>
      <c r="AS542" s="73"/>
    </row>
    <row r="543" spans="37:45" x14ac:dyDescent="0.25">
      <c r="AK543" s="73"/>
      <c r="AL543" s="73"/>
      <c r="AM543" s="73"/>
      <c r="AN543" s="73"/>
      <c r="AO543" s="73"/>
      <c r="AP543" s="73"/>
      <c r="AQ543" s="73"/>
      <c r="AR543" s="73"/>
      <c r="AS543" s="73"/>
    </row>
    <row r="544" spans="37:45" x14ac:dyDescent="0.25">
      <c r="AK544" s="73"/>
      <c r="AL544" s="73"/>
      <c r="AM544" s="73"/>
      <c r="AN544" s="73"/>
      <c r="AO544" s="73"/>
      <c r="AP544" s="73"/>
      <c r="AQ544" s="73"/>
      <c r="AR544" s="73"/>
      <c r="AS544" s="73"/>
    </row>
    <row r="545" spans="37:45" x14ac:dyDescent="0.25">
      <c r="AK545" s="73"/>
      <c r="AL545" s="73"/>
      <c r="AM545" s="73"/>
      <c r="AN545" s="73"/>
      <c r="AO545" s="73"/>
      <c r="AP545" s="73"/>
      <c r="AQ545" s="73"/>
      <c r="AR545" s="73"/>
      <c r="AS545" s="73"/>
    </row>
    <row r="546" spans="37:45" x14ac:dyDescent="0.25">
      <c r="AK546" s="73"/>
      <c r="AL546" s="73"/>
      <c r="AM546" s="73"/>
      <c r="AN546" s="73"/>
      <c r="AO546" s="73"/>
      <c r="AP546" s="73"/>
      <c r="AQ546" s="73"/>
      <c r="AR546" s="73"/>
      <c r="AS546" s="73"/>
    </row>
    <row r="547" spans="37:45" x14ac:dyDescent="0.25">
      <c r="AK547" s="73"/>
      <c r="AL547" s="73"/>
      <c r="AM547" s="73"/>
      <c r="AN547" s="73"/>
      <c r="AO547" s="73"/>
      <c r="AP547" s="73"/>
      <c r="AQ547" s="73"/>
      <c r="AR547" s="73"/>
      <c r="AS547" s="73"/>
    </row>
    <row r="548" spans="37:45" x14ac:dyDescent="0.25">
      <c r="AK548" s="73"/>
      <c r="AL548" s="73"/>
      <c r="AM548" s="73"/>
      <c r="AN548" s="73"/>
      <c r="AO548" s="73"/>
      <c r="AP548" s="73"/>
      <c r="AQ548" s="73"/>
      <c r="AR548" s="73"/>
      <c r="AS548" s="73"/>
    </row>
    <row r="549" spans="37:45" x14ac:dyDescent="0.25">
      <c r="AK549" s="73"/>
      <c r="AL549" s="73"/>
      <c r="AM549" s="73"/>
      <c r="AN549" s="73"/>
      <c r="AO549" s="73"/>
      <c r="AP549" s="73"/>
      <c r="AQ549" s="73"/>
      <c r="AR549" s="73"/>
      <c r="AS549" s="73"/>
    </row>
    <row r="550" spans="37:45" x14ac:dyDescent="0.25">
      <c r="AK550" s="73"/>
      <c r="AL550" s="73"/>
      <c r="AM550" s="73"/>
      <c r="AN550" s="73"/>
      <c r="AO550" s="73"/>
      <c r="AP550" s="73"/>
      <c r="AQ550" s="73"/>
      <c r="AR550" s="73"/>
      <c r="AS550" s="73"/>
    </row>
    <row r="551" spans="37:45" x14ac:dyDescent="0.25">
      <c r="AK551" s="73"/>
      <c r="AL551" s="73"/>
      <c r="AM551" s="73"/>
      <c r="AN551" s="73"/>
      <c r="AO551" s="73"/>
      <c r="AP551" s="73"/>
      <c r="AQ551" s="73"/>
      <c r="AR551" s="73"/>
      <c r="AS551" s="73"/>
    </row>
    <row r="552" spans="37:45" x14ac:dyDescent="0.25">
      <c r="AK552" s="73"/>
      <c r="AL552" s="73"/>
      <c r="AM552" s="73"/>
      <c r="AN552" s="73"/>
      <c r="AO552" s="73"/>
      <c r="AP552" s="73"/>
      <c r="AQ552" s="73"/>
      <c r="AR552" s="73"/>
      <c r="AS552" s="73"/>
    </row>
    <row r="553" spans="37:45" x14ac:dyDescent="0.25">
      <c r="AK553" s="73"/>
      <c r="AL553" s="73"/>
      <c r="AM553" s="73"/>
      <c r="AN553" s="73"/>
      <c r="AO553" s="73"/>
      <c r="AP553" s="73"/>
      <c r="AQ553" s="73"/>
      <c r="AR553" s="73"/>
      <c r="AS553" s="73"/>
    </row>
    <row r="554" spans="37:45" x14ac:dyDescent="0.25">
      <c r="AK554" s="73"/>
      <c r="AL554" s="73"/>
      <c r="AM554" s="73"/>
      <c r="AN554" s="73"/>
      <c r="AO554" s="73"/>
      <c r="AP554" s="73"/>
      <c r="AQ554" s="73"/>
      <c r="AR554" s="73"/>
      <c r="AS554" s="73"/>
    </row>
    <row r="555" spans="37:45" x14ac:dyDescent="0.25">
      <c r="AK555" s="73"/>
      <c r="AL555" s="73"/>
      <c r="AM555" s="73"/>
      <c r="AN555" s="73"/>
      <c r="AO555" s="73"/>
      <c r="AP555" s="73"/>
      <c r="AQ555" s="73"/>
      <c r="AR555" s="73"/>
      <c r="AS555" s="73"/>
    </row>
    <row r="556" spans="37:45" x14ac:dyDescent="0.25">
      <c r="AK556" s="73"/>
      <c r="AL556" s="73"/>
      <c r="AM556" s="73"/>
      <c r="AN556" s="73"/>
      <c r="AO556" s="73"/>
      <c r="AP556" s="73"/>
      <c r="AQ556" s="73"/>
      <c r="AR556" s="73"/>
      <c r="AS556" s="73"/>
    </row>
    <row r="557" spans="37:45" x14ac:dyDescent="0.25">
      <c r="AK557" s="73"/>
      <c r="AL557" s="73"/>
      <c r="AM557" s="73"/>
      <c r="AN557" s="73"/>
      <c r="AO557" s="73"/>
      <c r="AP557" s="73"/>
      <c r="AQ557" s="73"/>
      <c r="AR557" s="73"/>
      <c r="AS557" s="73"/>
    </row>
    <row r="558" spans="37:45" x14ac:dyDescent="0.25">
      <c r="AK558" s="73"/>
      <c r="AL558" s="73"/>
      <c r="AM558" s="73"/>
      <c r="AN558" s="73"/>
      <c r="AO558" s="73"/>
      <c r="AP558" s="73"/>
      <c r="AQ558" s="73"/>
      <c r="AR558" s="73"/>
      <c r="AS558" s="73"/>
    </row>
    <row r="559" spans="37:45" x14ac:dyDescent="0.25">
      <c r="AK559" s="73"/>
      <c r="AL559" s="73"/>
      <c r="AM559" s="73"/>
      <c r="AN559" s="73"/>
      <c r="AO559" s="73"/>
      <c r="AP559" s="73"/>
      <c r="AQ559" s="73"/>
      <c r="AR559" s="73"/>
      <c r="AS559" s="73"/>
    </row>
    <row r="560" spans="37:45" x14ac:dyDescent="0.25">
      <c r="AK560" s="73"/>
      <c r="AL560" s="73"/>
      <c r="AM560" s="73"/>
      <c r="AN560" s="73"/>
      <c r="AO560" s="73"/>
      <c r="AP560" s="73"/>
      <c r="AQ560" s="73"/>
      <c r="AR560" s="73"/>
      <c r="AS560" s="73"/>
    </row>
    <row r="561" spans="37:45" x14ac:dyDescent="0.25">
      <c r="AK561" s="73"/>
      <c r="AL561" s="73"/>
      <c r="AM561" s="73"/>
      <c r="AN561" s="73"/>
      <c r="AO561" s="73"/>
      <c r="AP561" s="73"/>
      <c r="AQ561" s="73"/>
      <c r="AR561" s="73"/>
      <c r="AS561" s="73"/>
    </row>
    <row r="562" spans="37:45" x14ac:dyDescent="0.25">
      <c r="AK562" s="73"/>
      <c r="AL562" s="73"/>
      <c r="AM562" s="73"/>
      <c r="AN562" s="73"/>
      <c r="AO562" s="73"/>
      <c r="AP562" s="73"/>
      <c r="AQ562" s="73"/>
      <c r="AR562" s="73"/>
      <c r="AS562" s="73"/>
    </row>
    <row r="563" spans="37:45" x14ac:dyDescent="0.25">
      <c r="AK563" s="73"/>
      <c r="AL563" s="73"/>
      <c r="AM563" s="73"/>
      <c r="AN563" s="73"/>
      <c r="AO563" s="73"/>
      <c r="AP563" s="73"/>
      <c r="AQ563" s="73"/>
      <c r="AR563" s="73"/>
      <c r="AS563" s="73"/>
    </row>
    <row r="564" spans="37:45" x14ac:dyDescent="0.25">
      <c r="AK564" s="73"/>
      <c r="AL564" s="73"/>
      <c r="AM564" s="73"/>
      <c r="AN564" s="73"/>
      <c r="AO564" s="73"/>
      <c r="AP564" s="73"/>
      <c r="AQ564" s="73"/>
      <c r="AR564" s="73"/>
      <c r="AS564" s="73"/>
    </row>
    <row r="565" spans="37:45" x14ac:dyDescent="0.25">
      <c r="AK565" s="73"/>
      <c r="AL565" s="73"/>
      <c r="AM565" s="73"/>
      <c r="AN565" s="73"/>
      <c r="AO565" s="73"/>
      <c r="AP565" s="73"/>
      <c r="AQ565" s="73"/>
      <c r="AR565" s="73"/>
      <c r="AS565" s="73"/>
    </row>
    <row r="566" spans="37:45" x14ac:dyDescent="0.25">
      <c r="AK566" s="73"/>
      <c r="AL566" s="73"/>
      <c r="AM566" s="73"/>
      <c r="AN566" s="73"/>
      <c r="AO566" s="73"/>
      <c r="AP566" s="73"/>
      <c r="AQ566" s="73"/>
      <c r="AR566" s="73"/>
      <c r="AS566" s="73"/>
    </row>
    <row r="567" spans="37:45" x14ac:dyDescent="0.25">
      <c r="AK567" s="73"/>
      <c r="AL567" s="73"/>
      <c r="AM567" s="73"/>
      <c r="AN567" s="73"/>
      <c r="AO567" s="73"/>
      <c r="AP567" s="73"/>
      <c r="AQ567" s="73"/>
      <c r="AR567" s="73"/>
      <c r="AS567" s="73"/>
    </row>
    <row r="568" spans="37:45" x14ac:dyDescent="0.25">
      <c r="AK568" s="73"/>
      <c r="AL568" s="73"/>
      <c r="AM568" s="73"/>
      <c r="AN568" s="73"/>
      <c r="AO568" s="73"/>
      <c r="AP568" s="73"/>
      <c r="AQ568" s="73"/>
      <c r="AR568" s="73"/>
      <c r="AS568" s="73"/>
    </row>
    <row r="569" spans="37:45" x14ac:dyDescent="0.25">
      <c r="AK569" s="73"/>
      <c r="AL569" s="73"/>
      <c r="AM569" s="73"/>
      <c r="AN569" s="73"/>
      <c r="AO569" s="73"/>
      <c r="AP569" s="73"/>
      <c r="AQ569" s="73"/>
      <c r="AR569" s="73"/>
      <c r="AS569" s="73"/>
    </row>
    <row r="570" spans="37:45" x14ac:dyDescent="0.25">
      <c r="AK570" s="73"/>
      <c r="AL570" s="73"/>
      <c r="AM570" s="73"/>
      <c r="AN570" s="73"/>
      <c r="AO570" s="73"/>
      <c r="AP570" s="73"/>
      <c r="AQ570" s="73"/>
      <c r="AR570" s="73"/>
      <c r="AS570" s="73"/>
    </row>
    <row r="571" spans="37:45" x14ac:dyDescent="0.25">
      <c r="AK571" s="73"/>
      <c r="AL571" s="73"/>
      <c r="AM571" s="73"/>
      <c r="AN571" s="73"/>
      <c r="AO571" s="73"/>
      <c r="AP571" s="73"/>
      <c r="AQ571" s="73"/>
      <c r="AR571" s="73"/>
      <c r="AS571" s="73"/>
    </row>
    <row r="572" spans="37:45" x14ac:dyDescent="0.25">
      <c r="AK572" s="73"/>
      <c r="AL572" s="73"/>
      <c r="AM572" s="73"/>
      <c r="AN572" s="73"/>
      <c r="AO572" s="73"/>
      <c r="AP572" s="73"/>
      <c r="AQ572" s="73"/>
      <c r="AR572" s="73"/>
      <c r="AS572" s="73"/>
    </row>
    <row r="573" spans="37:45" x14ac:dyDescent="0.25">
      <c r="AK573" s="73"/>
      <c r="AL573" s="73"/>
      <c r="AM573" s="73"/>
      <c r="AN573" s="73"/>
      <c r="AO573" s="73"/>
      <c r="AP573" s="73"/>
      <c r="AQ573" s="73"/>
      <c r="AR573" s="73"/>
      <c r="AS573" s="73"/>
    </row>
    <row r="574" spans="37:45" x14ac:dyDescent="0.25">
      <c r="AK574" s="73"/>
      <c r="AL574" s="73"/>
      <c r="AM574" s="73"/>
      <c r="AN574" s="73"/>
      <c r="AO574" s="73"/>
      <c r="AP574" s="73"/>
      <c r="AQ574" s="73"/>
      <c r="AR574" s="73"/>
      <c r="AS574" s="73"/>
    </row>
    <row r="575" spans="37:45" x14ac:dyDescent="0.25">
      <c r="AK575" s="73"/>
      <c r="AL575" s="73"/>
      <c r="AM575" s="73"/>
      <c r="AN575" s="73"/>
      <c r="AO575" s="73"/>
      <c r="AP575" s="73"/>
      <c r="AQ575" s="73"/>
      <c r="AR575" s="73"/>
      <c r="AS575" s="73"/>
    </row>
    <row r="576" spans="37:45" x14ac:dyDescent="0.25">
      <c r="AK576" s="73"/>
      <c r="AL576" s="73"/>
      <c r="AM576" s="73"/>
      <c r="AN576" s="73"/>
      <c r="AO576" s="73"/>
      <c r="AP576" s="73"/>
      <c r="AQ576" s="73"/>
      <c r="AR576" s="73"/>
      <c r="AS576" s="73"/>
    </row>
    <row r="577" spans="37:45" x14ac:dyDescent="0.25">
      <c r="AK577" s="73"/>
      <c r="AL577" s="73"/>
      <c r="AM577" s="73"/>
      <c r="AN577" s="73"/>
      <c r="AO577" s="73"/>
      <c r="AP577" s="73"/>
      <c r="AQ577" s="73"/>
      <c r="AR577" s="73"/>
      <c r="AS577" s="73"/>
    </row>
    <row r="578" spans="37:45" x14ac:dyDescent="0.25">
      <c r="AK578" s="73"/>
      <c r="AL578" s="73"/>
      <c r="AM578" s="73"/>
      <c r="AN578" s="73"/>
      <c r="AO578" s="73"/>
      <c r="AP578" s="73"/>
      <c r="AQ578" s="73"/>
      <c r="AR578" s="73"/>
      <c r="AS578" s="73"/>
    </row>
    <row r="579" spans="37:45" x14ac:dyDescent="0.25">
      <c r="AK579" s="73"/>
      <c r="AL579" s="73"/>
      <c r="AM579" s="73"/>
      <c r="AN579" s="73"/>
      <c r="AO579" s="73"/>
      <c r="AP579" s="73"/>
      <c r="AQ579" s="73"/>
      <c r="AR579" s="73"/>
      <c r="AS579" s="73"/>
    </row>
    <row r="580" spans="37:45" x14ac:dyDescent="0.25">
      <c r="AK580" s="73"/>
      <c r="AL580" s="73"/>
      <c r="AM580" s="73"/>
      <c r="AN580" s="73"/>
      <c r="AO580" s="73"/>
      <c r="AP580" s="73"/>
      <c r="AQ580" s="73"/>
      <c r="AR580" s="73"/>
      <c r="AS580" s="73"/>
    </row>
    <row r="581" spans="37:45" x14ac:dyDescent="0.25">
      <c r="AK581" s="73"/>
      <c r="AL581" s="73"/>
      <c r="AM581" s="73"/>
      <c r="AN581" s="73"/>
      <c r="AO581" s="73"/>
      <c r="AP581" s="73"/>
      <c r="AQ581" s="73"/>
      <c r="AR581" s="73"/>
      <c r="AS581" s="73"/>
    </row>
    <row r="582" spans="37:45" x14ac:dyDescent="0.25">
      <c r="AK582" s="73"/>
      <c r="AL582" s="73"/>
      <c r="AM582" s="73"/>
      <c r="AN582" s="73"/>
      <c r="AO582" s="73"/>
      <c r="AP582" s="73"/>
      <c r="AQ582" s="73"/>
      <c r="AR582" s="73"/>
      <c r="AS582" s="73"/>
    </row>
    <row r="583" spans="37:45" x14ac:dyDescent="0.25">
      <c r="AK583" s="73"/>
      <c r="AL583" s="73"/>
      <c r="AM583" s="73"/>
      <c r="AN583" s="73"/>
      <c r="AO583" s="73"/>
      <c r="AP583" s="73"/>
      <c r="AQ583" s="73"/>
      <c r="AR583" s="73"/>
      <c r="AS583" s="73"/>
    </row>
    <row r="584" spans="37:45" x14ac:dyDescent="0.25">
      <c r="AK584" s="73"/>
      <c r="AL584" s="73"/>
      <c r="AM584" s="73"/>
      <c r="AN584" s="73"/>
      <c r="AO584" s="73"/>
      <c r="AP584" s="73"/>
      <c r="AQ584" s="73"/>
      <c r="AR584" s="73"/>
      <c r="AS584" s="73"/>
    </row>
    <row r="585" spans="37:45" x14ac:dyDescent="0.25">
      <c r="AK585" s="73"/>
      <c r="AL585" s="73"/>
      <c r="AM585" s="73"/>
      <c r="AN585" s="73"/>
      <c r="AO585" s="73"/>
      <c r="AP585" s="73"/>
      <c r="AQ585" s="73"/>
      <c r="AR585" s="73"/>
      <c r="AS585" s="73"/>
    </row>
    <row r="586" spans="37:45" x14ac:dyDescent="0.25">
      <c r="AK586" s="73"/>
      <c r="AL586" s="73"/>
      <c r="AM586" s="73"/>
      <c r="AN586" s="73"/>
      <c r="AO586" s="73"/>
      <c r="AP586" s="73"/>
      <c r="AQ586" s="73"/>
      <c r="AR586" s="73"/>
      <c r="AS586" s="73"/>
    </row>
    <row r="587" spans="37:45" x14ac:dyDescent="0.25">
      <c r="AK587" s="73"/>
      <c r="AL587" s="73"/>
      <c r="AM587" s="73"/>
      <c r="AN587" s="73"/>
      <c r="AO587" s="73"/>
      <c r="AP587" s="73"/>
      <c r="AQ587" s="73"/>
      <c r="AR587" s="73"/>
      <c r="AS587" s="73"/>
    </row>
    <row r="588" spans="37:45" x14ac:dyDescent="0.25">
      <c r="AK588" s="73"/>
      <c r="AL588" s="73"/>
      <c r="AM588" s="73"/>
      <c r="AN588" s="73"/>
      <c r="AO588" s="73"/>
      <c r="AP588" s="73"/>
      <c r="AQ588" s="73"/>
      <c r="AR588" s="73"/>
      <c r="AS588" s="73"/>
    </row>
    <row r="589" spans="37:45" x14ac:dyDescent="0.25">
      <c r="AK589" s="73"/>
      <c r="AL589" s="73"/>
      <c r="AM589" s="73"/>
      <c r="AN589" s="73"/>
      <c r="AO589" s="73"/>
      <c r="AP589" s="73"/>
      <c r="AQ589" s="73"/>
      <c r="AR589" s="73"/>
      <c r="AS589" s="73"/>
    </row>
    <row r="590" spans="37:45" x14ac:dyDescent="0.25">
      <c r="AK590" s="73"/>
      <c r="AL590" s="73"/>
      <c r="AM590" s="73"/>
      <c r="AN590" s="73"/>
      <c r="AO590" s="73"/>
      <c r="AP590" s="73"/>
      <c r="AQ590" s="73"/>
      <c r="AR590" s="73"/>
      <c r="AS590" s="73"/>
    </row>
    <row r="591" spans="37:45" x14ac:dyDescent="0.25">
      <c r="AK591" s="73"/>
      <c r="AL591" s="73"/>
      <c r="AM591" s="73"/>
      <c r="AN591" s="73"/>
      <c r="AO591" s="73"/>
      <c r="AP591" s="73"/>
      <c r="AQ591" s="73"/>
      <c r="AR591" s="73"/>
      <c r="AS591" s="73"/>
    </row>
    <row r="592" spans="37:45" x14ac:dyDescent="0.25">
      <c r="AK592" s="73"/>
      <c r="AL592" s="73"/>
      <c r="AM592" s="73"/>
      <c r="AN592" s="73"/>
      <c r="AO592" s="73"/>
      <c r="AP592" s="73"/>
      <c r="AQ592" s="73"/>
      <c r="AR592" s="73"/>
      <c r="AS592" s="73"/>
    </row>
    <row r="593" spans="37:45" x14ac:dyDescent="0.25">
      <c r="AK593" s="73"/>
      <c r="AL593" s="73"/>
      <c r="AM593" s="73"/>
      <c r="AN593" s="73"/>
      <c r="AO593" s="73"/>
      <c r="AP593" s="73"/>
      <c r="AQ593" s="73"/>
      <c r="AR593" s="73"/>
      <c r="AS593" s="73"/>
    </row>
    <row r="594" spans="37:45" x14ac:dyDescent="0.25">
      <c r="AK594" s="73"/>
      <c r="AL594" s="73"/>
      <c r="AM594" s="73"/>
      <c r="AN594" s="73"/>
      <c r="AO594" s="73"/>
      <c r="AP594" s="73"/>
      <c r="AQ594" s="73"/>
      <c r="AR594" s="73"/>
      <c r="AS594" s="73"/>
    </row>
    <row r="595" spans="37:45" x14ac:dyDescent="0.25">
      <c r="AK595" s="73"/>
      <c r="AL595" s="73"/>
      <c r="AM595" s="73"/>
      <c r="AN595" s="73"/>
      <c r="AO595" s="73"/>
      <c r="AP595" s="73"/>
      <c r="AQ595" s="73"/>
      <c r="AR595" s="73"/>
      <c r="AS595" s="73"/>
    </row>
    <row r="596" spans="37:45" x14ac:dyDescent="0.25">
      <c r="AK596" s="73"/>
      <c r="AL596" s="73"/>
      <c r="AM596" s="73"/>
      <c r="AN596" s="73"/>
      <c r="AO596" s="73"/>
      <c r="AP596" s="73"/>
      <c r="AQ596" s="73"/>
      <c r="AR596" s="73"/>
      <c r="AS596" s="73"/>
    </row>
    <row r="597" spans="37:45" x14ac:dyDescent="0.25">
      <c r="AK597" s="73"/>
      <c r="AL597" s="73"/>
      <c r="AM597" s="73"/>
      <c r="AN597" s="73"/>
      <c r="AO597" s="73"/>
      <c r="AP597" s="73"/>
      <c r="AQ597" s="73"/>
      <c r="AR597" s="73"/>
      <c r="AS597" s="73"/>
    </row>
    <row r="598" spans="37:45" x14ac:dyDescent="0.25">
      <c r="AK598" s="73"/>
      <c r="AL598" s="73"/>
      <c r="AM598" s="73"/>
      <c r="AN598" s="73"/>
      <c r="AO598" s="73"/>
      <c r="AP598" s="73"/>
      <c r="AQ598" s="73"/>
      <c r="AR598" s="73"/>
      <c r="AS598" s="73"/>
    </row>
    <row r="599" spans="37:45" x14ac:dyDescent="0.25">
      <c r="AK599" s="73"/>
      <c r="AL599" s="73"/>
      <c r="AM599" s="73"/>
      <c r="AN599" s="73"/>
      <c r="AO599" s="73"/>
      <c r="AP599" s="73"/>
      <c r="AQ599" s="73"/>
      <c r="AR599" s="73"/>
      <c r="AS599" s="73"/>
    </row>
    <row r="600" spans="37:45" x14ac:dyDescent="0.25">
      <c r="AK600" s="73"/>
      <c r="AL600" s="73"/>
      <c r="AM600" s="73"/>
      <c r="AN600" s="73"/>
      <c r="AO600" s="73"/>
      <c r="AP600" s="73"/>
      <c r="AQ600" s="73"/>
      <c r="AR600" s="73"/>
      <c r="AS600" s="73"/>
    </row>
    <row r="601" spans="37:45" x14ac:dyDescent="0.25">
      <c r="AK601" s="73"/>
      <c r="AL601" s="73"/>
      <c r="AM601" s="73"/>
      <c r="AN601" s="73"/>
      <c r="AO601" s="73"/>
      <c r="AP601" s="73"/>
      <c r="AQ601" s="73"/>
      <c r="AR601" s="73"/>
      <c r="AS601" s="73"/>
    </row>
    <row r="602" spans="37:45" x14ac:dyDescent="0.25">
      <c r="AK602" s="73"/>
      <c r="AL602" s="73"/>
      <c r="AM602" s="73"/>
      <c r="AN602" s="73"/>
      <c r="AO602" s="73"/>
      <c r="AP602" s="73"/>
      <c r="AQ602" s="73"/>
      <c r="AR602" s="73"/>
      <c r="AS602" s="73"/>
    </row>
    <row r="603" spans="37:45" x14ac:dyDescent="0.25">
      <c r="AK603" s="73"/>
      <c r="AL603" s="73"/>
      <c r="AM603" s="73"/>
      <c r="AN603" s="73"/>
      <c r="AO603" s="73"/>
      <c r="AP603" s="73"/>
      <c r="AQ603" s="73"/>
      <c r="AR603" s="73"/>
      <c r="AS603" s="73"/>
    </row>
    <row r="604" spans="37:45" x14ac:dyDescent="0.25">
      <c r="AK604" s="73"/>
      <c r="AL604" s="73"/>
      <c r="AM604" s="73"/>
      <c r="AN604" s="73"/>
      <c r="AO604" s="73"/>
      <c r="AP604" s="73"/>
      <c r="AQ604" s="73"/>
      <c r="AR604" s="73"/>
      <c r="AS604" s="73"/>
    </row>
    <row r="605" spans="37:45" x14ac:dyDescent="0.25">
      <c r="AK605" s="73"/>
      <c r="AL605" s="73"/>
      <c r="AM605" s="73"/>
      <c r="AN605" s="73"/>
      <c r="AO605" s="73"/>
      <c r="AP605" s="73"/>
      <c r="AQ605" s="73"/>
      <c r="AR605" s="73"/>
      <c r="AS605" s="73"/>
    </row>
    <row r="606" spans="37:45" x14ac:dyDescent="0.25">
      <c r="AK606" s="73"/>
      <c r="AL606" s="73"/>
      <c r="AM606" s="73"/>
      <c r="AN606" s="73"/>
      <c r="AO606" s="73"/>
      <c r="AP606" s="73"/>
      <c r="AQ606" s="73"/>
      <c r="AR606" s="73"/>
      <c r="AS606" s="73"/>
    </row>
  </sheetData>
  <phoneticPr fontId="10" type="noConversion"/>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680BB-E03D-4A29-A168-81B71D8E1A7F}">
  <dimension ref="A1:M53"/>
  <sheetViews>
    <sheetView showGridLines="0" zoomScale="85" zoomScaleNormal="85" workbookViewId="0">
      <pane xSplit="1" ySplit="1" topLeftCell="C23" activePane="bottomRight" state="frozen"/>
      <selection pane="topRight" activeCell="B1" sqref="B1"/>
      <selection pane="bottomLeft" activeCell="A3" sqref="A3"/>
      <selection pane="bottomRight" activeCell="M30" sqref="M30:M38"/>
    </sheetView>
  </sheetViews>
  <sheetFormatPr baseColWidth="10" defaultColWidth="11.42578125" defaultRowHeight="12.75" x14ac:dyDescent="0.2"/>
  <cols>
    <col min="1" max="1" width="8" style="55" customWidth="1"/>
    <col min="2" max="3" width="27.140625" style="55" customWidth="1"/>
    <col min="4" max="4" width="15" style="22" customWidth="1"/>
    <col min="5" max="5" width="26.140625" style="22" customWidth="1"/>
    <col min="6" max="6" width="21.7109375" style="22" customWidth="1"/>
    <col min="7" max="7" width="30.28515625" style="22" customWidth="1"/>
    <col min="8" max="8" width="21.7109375" style="22" customWidth="1"/>
    <col min="9" max="9" width="47.85546875" style="23" customWidth="1"/>
    <col min="10" max="10" width="14.5703125" style="23" customWidth="1"/>
    <col min="11" max="11" width="18.140625" style="23" customWidth="1"/>
    <col min="12" max="12" width="17.140625" style="23" customWidth="1"/>
    <col min="13" max="13" width="57.140625" style="23" customWidth="1"/>
    <col min="14" max="16384" width="11.42578125" style="23"/>
  </cols>
  <sheetData>
    <row r="1" spans="1:13" s="53" customFormat="1" ht="38.25" x14ac:dyDescent="0.2">
      <c r="A1" s="27" t="s">
        <v>304</v>
      </c>
      <c r="B1" s="28" t="s">
        <v>305</v>
      </c>
      <c r="C1" s="28" t="s">
        <v>450</v>
      </c>
      <c r="D1" s="28" t="s">
        <v>306</v>
      </c>
      <c r="E1" s="28" t="s">
        <v>307</v>
      </c>
      <c r="F1" s="28" t="s">
        <v>308</v>
      </c>
      <c r="G1" s="28" t="s">
        <v>309</v>
      </c>
      <c r="H1" s="28" t="s">
        <v>4</v>
      </c>
      <c r="I1" s="29" t="s">
        <v>386</v>
      </c>
      <c r="J1" s="29" t="s">
        <v>6</v>
      </c>
      <c r="K1" s="29" t="s">
        <v>7</v>
      </c>
      <c r="L1" s="29" t="s">
        <v>8</v>
      </c>
      <c r="M1" s="31" t="s">
        <v>9</v>
      </c>
    </row>
    <row r="2" spans="1:13" ht="37.5" customHeight="1" x14ac:dyDescent="0.2">
      <c r="A2" s="19">
        <v>1</v>
      </c>
      <c r="B2" s="30" t="s">
        <v>394</v>
      </c>
      <c r="C2" s="30" t="s">
        <v>451</v>
      </c>
      <c r="D2" s="30" t="s">
        <v>325</v>
      </c>
      <c r="E2" s="30" t="s">
        <v>326</v>
      </c>
      <c r="F2" s="30"/>
      <c r="G2" s="30"/>
      <c r="H2" s="30" t="s">
        <v>327</v>
      </c>
      <c r="I2" s="13" t="s">
        <v>387</v>
      </c>
      <c r="J2" s="30" t="s">
        <v>30</v>
      </c>
      <c r="K2" s="30" t="s">
        <v>31</v>
      </c>
      <c r="L2" s="30" t="s">
        <v>32</v>
      </c>
      <c r="M2" s="32" t="s">
        <v>339</v>
      </c>
    </row>
    <row r="3" spans="1:13" ht="37.5" customHeight="1" x14ac:dyDescent="0.2">
      <c r="A3" s="19">
        <v>2</v>
      </c>
      <c r="B3" s="30" t="s">
        <v>394</v>
      </c>
      <c r="C3" s="30" t="s">
        <v>451</v>
      </c>
      <c r="D3" s="30" t="s">
        <v>325</v>
      </c>
      <c r="E3" s="30" t="s">
        <v>326</v>
      </c>
      <c r="F3" s="30"/>
      <c r="G3" s="30"/>
      <c r="H3" s="30" t="s">
        <v>328</v>
      </c>
      <c r="I3" s="13" t="s">
        <v>388</v>
      </c>
      <c r="J3" s="30" t="s">
        <v>30</v>
      </c>
      <c r="K3" s="30" t="s">
        <v>31</v>
      </c>
      <c r="L3" s="30" t="s">
        <v>32</v>
      </c>
      <c r="M3" s="32" t="s">
        <v>339</v>
      </c>
    </row>
    <row r="4" spans="1:13" ht="37.5" customHeight="1" x14ac:dyDescent="0.2">
      <c r="A4" s="19">
        <v>3</v>
      </c>
      <c r="B4" s="30" t="s">
        <v>394</v>
      </c>
      <c r="C4" s="30" t="s">
        <v>451</v>
      </c>
      <c r="D4" s="30" t="s">
        <v>325</v>
      </c>
      <c r="E4" s="30" t="s">
        <v>326</v>
      </c>
      <c r="F4" s="30"/>
      <c r="G4" s="30"/>
      <c r="H4" s="30" t="s">
        <v>329</v>
      </c>
      <c r="I4" s="13" t="s">
        <v>389</v>
      </c>
      <c r="J4" s="30" t="s">
        <v>30</v>
      </c>
      <c r="K4" s="30" t="s">
        <v>31</v>
      </c>
      <c r="L4" s="30" t="s">
        <v>32</v>
      </c>
      <c r="M4" s="32" t="s">
        <v>339</v>
      </c>
    </row>
    <row r="5" spans="1:13" ht="37.5" customHeight="1" x14ac:dyDescent="0.2">
      <c r="A5" s="19">
        <v>4</v>
      </c>
      <c r="B5" s="30" t="s">
        <v>394</v>
      </c>
      <c r="C5" s="30" t="s">
        <v>451</v>
      </c>
      <c r="D5" s="30" t="s">
        <v>325</v>
      </c>
      <c r="E5" s="30" t="s">
        <v>326</v>
      </c>
      <c r="F5" s="30"/>
      <c r="G5" s="30"/>
      <c r="H5" s="30" t="s">
        <v>330</v>
      </c>
      <c r="I5" s="5" t="s">
        <v>390</v>
      </c>
      <c r="J5" s="30" t="s">
        <v>30</v>
      </c>
      <c r="K5" s="30" t="s">
        <v>31</v>
      </c>
      <c r="L5" s="30" t="s">
        <v>32</v>
      </c>
      <c r="M5" s="33" t="s">
        <v>340</v>
      </c>
    </row>
    <row r="6" spans="1:13" ht="37.5" customHeight="1" x14ac:dyDescent="0.2">
      <c r="A6" s="19">
        <v>5</v>
      </c>
      <c r="B6" s="30" t="s">
        <v>394</v>
      </c>
      <c r="C6" s="30" t="s">
        <v>451</v>
      </c>
      <c r="D6" s="30" t="s">
        <v>325</v>
      </c>
      <c r="E6" s="30" t="s">
        <v>326</v>
      </c>
      <c r="F6" s="30"/>
      <c r="G6" s="30"/>
      <c r="H6" s="30" t="s">
        <v>331</v>
      </c>
      <c r="I6" s="13" t="s">
        <v>391</v>
      </c>
      <c r="J6" s="30" t="s">
        <v>30</v>
      </c>
      <c r="K6" s="30" t="s">
        <v>31</v>
      </c>
      <c r="L6" s="30" t="s">
        <v>32</v>
      </c>
      <c r="M6" s="33" t="s">
        <v>340</v>
      </c>
    </row>
    <row r="7" spans="1:13" ht="37.5" customHeight="1" x14ac:dyDescent="0.2">
      <c r="A7" s="19">
        <v>6</v>
      </c>
      <c r="B7" s="30" t="s">
        <v>394</v>
      </c>
      <c r="C7" s="30" t="s">
        <v>451</v>
      </c>
      <c r="D7" s="30" t="s">
        <v>325</v>
      </c>
      <c r="E7" s="30" t="s">
        <v>326</v>
      </c>
      <c r="F7" s="30"/>
      <c r="G7" s="30"/>
      <c r="H7" s="30" t="s">
        <v>332</v>
      </c>
      <c r="I7" s="5" t="s">
        <v>392</v>
      </c>
      <c r="J7" s="30" t="s">
        <v>30</v>
      </c>
      <c r="K7" s="30" t="s">
        <v>31</v>
      </c>
      <c r="L7" s="30" t="s">
        <v>32</v>
      </c>
      <c r="M7" s="33" t="s">
        <v>340</v>
      </c>
    </row>
    <row r="8" spans="1:13" ht="37.5" customHeight="1" x14ac:dyDescent="0.2">
      <c r="A8" s="19">
        <v>7</v>
      </c>
      <c r="B8" s="30" t="s">
        <v>394</v>
      </c>
      <c r="C8" s="30" t="s">
        <v>451</v>
      </c>
      <c r="D8" s="30" t="s">
        <v>325</v>
      </c>
      <c r="E8" s="30" t="s">
        <v>326</v>
      </c>
      <c r="F8" s="30"/>
      <c r="G8" s="30"/>
      <c r="H8" s="30" t="s">
        <v>333</v>
      </c>
      <c r="I8" s="5" t="s">
        <v>393</v>
      </c>
      <c r="J8" s="30" t="s">
        <v>30</v>
      </c>
      <c r="K8" s="30" t="s">
        <v>31</v>
      </c>
      <c r="L8" s="30" t="s">
        <v>32</v>
      </c>
      <c r="M8" s="33" t="s">
        <v>340</v>
      </c>
    </row>
    <row r="9" spans="1:13" ht="37.5" customHeight="1" x14ac:dyDescent="0.2">
      <c r="A9" s="19">
        <v>8</v>
      </c>
      <c r="B9" s="30" t="s">
        <v>394</v>
      </c>
      <c r="C9" s="30" t="s">
        <v>451</v>
      </c>
      <c r="D9" s="30" t="s">
        <v>325</v>
      </c>
      <c r="E9" s="30" t="s">
        <v>326</v>
      </c>
      <c r="F9" s="30"/>
      <c r="G9" s="30"/>
      <c r="H9" s="30" t="s">
        <v>334</v>
      </c>
      <c r="I9" s="5" t="s">
        <v>344</v>
      </c>
      <c r="J9" s="30" t="s">
        <v>30</v>
      </c>
      <c r="K9" s="30" t="s">
        <v>31</v>
      </c>
      <c r="L9" s="30" t="s">
        <v>32</v>
      </c>
      <c r="M9" s="33" t="s">
        <v>341</v>
      </c>
    </row>
    <row r="10" spans="1:13" ht="37.5" customHeight="1" x14ac:dyDescent="0.2">
      <c r="A10" s="19">
        <v>9</v>
      </c>
      <c r="B10" s="30" t="s">
        <v>394</v>
      </c>
      <c r="C10" s="30" t="s">
        <v>451</v>
      </c>
      <c r="D10" s="30" t="s">
        <v>325</v>
      </c>
      <c r="E10" s="30" t="s">
        <v>326</v>
      </c>
      <c r="F10" s="30"/>
      <c r="G10" s="30"/>
      <c r="H10" s="30" t="s">
        <v>335</v>
      </c>
      <c r="I10" s="5" t="s">
        <v>342</v>
      </c>
      <c r="J10" s="30" t="s">
        <v>30</v>
      </c>
      <c r="K10" s="30" t="s">
        <v>31</v>
      </c>
      <c r="L10" s="30" t="s">
        <v>32</v>
      </c>
      <c r="M10" s="33" t="s">
        <v>343</v>
      </c>
    </row>
    <row r="11" spans="1:13" ht="37.5" customHeight="1" x14ac:dyDescent="0.2">
      <c r="A11" s="19">
        <v>10</v>
      </c>
      <c r="B11" s="30" t="s">
        <v>394</v>
      </c>
      <c r="C11" s="30" t="s">
        <v>451</v>
      </c>
      <c r="D11" s="30" t="s">
        <v>325</v>
      </c>
      <c r="E11" s="30" t="s">
        <v>326</v>
      </c>
      <c r="F11" s="30"/>
      <c r="G11" s="30"/>
      <c r="H11" s="30" t="s">
        <v>336</v>
      </c>
      <c r="I11" s="5" t="s">
        <v>345</v>
      </c>
      <c r="J11" s="6" t="s">
        <v>30</v>
      </c>
      <c r="K11" s="30" t="s">
        <v>31</v>
      </c>
      <c r="L11" s="30" t="s">
        <v>32</v>
      </c>
      <c r="M11" s="33" t="s">
        <v>346</v>
      </c>
    </row>
    <row r="12" spans="1:13" ht="37.5" customHeight="1" x14ac:dyDescent="0.2">
      <c r="A12" s="19">
        <v>11</v>
      </c>
      <c r="B12" s="30" t="s">
        <v>394</v>
      </c>
      <c r="C12" s="30" t="s">
        <v>451</v>
      </c>
      <c r="D12" s="30" t="s">
        <v>325</v>
      </c>
      <c r="E12" s="30" t="s">
        <v>326</v>
      </c>
      <c r="F12" s="30"/>
      <c r="G12" s="30"/>
      <c r="H12" s="30" t="s">
        <v>337</v>
      </c>
      <c r="I12" s="5" t="s">
        <v>347</v>
      </c>
      <c r="J12" s="6" t="s">
        <v>39</v>
      </c>
      <c r="K12" s="30" t="s">
        <v>31</v>
      </c>
      <c r="L12" s="30" t="s">
        <v>32</v>
      </c>
      <c r="M12" s="33" t="s">
        <v>348</v>
      </c>
    </row>
    <row r="13" spans="1:13" ht="37.5" customHeight="1" x14ac:dyDescent="0.2">
      <c r="A13" s="19">
        <v>12</v>
      </c>
      <c r="B13" s="30" t="s">
        <v>394</v>
      </c>
      <c r="C13" s="30" t="s">
        <v>451</v>
      </c>
      <c r="D13" s="30" t="s">
        <v>325</v>
      </c>
      <c r="E13" s="30" t="s">
        <v>326</v>
      </c>
      <c r="F13" s="30"/>
      <c r="G13" s="30"/>
      <c r="H13" s="30" t="s">
        <v>338</v>
      </c>
      <c r="I13" s="5" t="s">
        <v>349</v>
      </c>
      <c r="J13" s="6" t="s">
        <v>39</v>
      </c>
      <c r="K13" s="30" t="s">
        <v>31</v>
      </c>
      <c r="L13" s="30" t="s">
        <v>32</v>
      </c>
      <c r="M13" s="33" t="s">
        <v>350</v>
      </c>
    </row>
    <row r="14" spans="1:13" ht="25.5" x14ac:dyDescent="0.2">
      <c r="A14" s="19">
        <v>12</v>
      </c>
      <c r="B14" s="30" t="s">
        <v>394</v>
      </c>
      <c r="C14" s="30" t="s">
        <v>451</v>
      </c>
      <c r="D14" s="30" t="s">
        <v>325</v>
      </c>
      <c r="E14" s="30" t="s">
        <v>326</v>
      </c>
      <c r="F14" s="30"/>
      <c r="G14" s="60"/>
      <c r="H14" s="30" t="s">
        <v>374</v>
      </c>
      <c r="I14" s="87" t="s">
        <v>351</v>
      </c>
      <c r="J14" s="20" t="s">
        <v>39</v>
      </c>
      <c r="K14" s="30" t="s">
        <v>31</v>
      </c>
      <c r="L14" s="30" t="s">
        <v>32</v>
      </c>
      <c r="M14" s="88" t="s">
        <v>352</v>
      </c>
    </row>
    <row r="15" spans="1:13" ht="25.5" x14ac:dyDescent="0.2">
      <c r="A15" s="19">
        <v>12</v>
      </c>
      <c r="B15" s="30" t="s">
        <v>394</v>
      </c>
      <c r="C15" s="30" t="s">
        <v>451</v>
      </c>
      <c r="D15" s="30" t="s">
        <v>325</v>
      </c>
      <c r="E15" s="30" t="s">
        <v>326</v>
      </c>
      <c r="F15" s="60"/>
      <c r="G15" s="60"/>
      <c r="H15" s="30" t="s">
        <v>375</v>
      </c>
      <c r="I15" s="87" t="s">
        <v>353</v>
      </c>
      <c r="J15" s="88" t="s">
        <v>39</v>
      </c>
      <c r="K15" s="30" t="s">
        <v>31</v>
      </c>
      <c r="L15" s="30" t="s">
        <v>32</v>
      </c>
      <c r="M15" s="88" t="s">
        <v>352</v>
      </c>
    </row>
    <row r="16" spans="1:13" ht="127.5" x14ac:dyDescent="0.2">
      <c r="A16" s="19">
        <v>12</v>
      </c>
      <c r="B16" s="30" t="s">
        <v>394</v>
      </c>
      <c r="C16" s="30" t="s">
        <v>451</v>
      </c>
      <c r="D16" s="30" t="s">
        <v>325</v>
      </c>
      <c r="E16" s="30" t="s">
        <v>326</v>
      </c>
      <c r="F16" s="60"/>
      <c r="G16" s="60"/>
      <c r="H16" s="30" t="s">
        <v>376</v>
      </c>
      <c r="I16" s="26" t="s">
        <v>354</v>
      </c>
      <c r="J16" s="88" t="s">
        <v>39</v>
      </c>
      <c r="K16" s="30" t="s">
        <v>31</v>
      </c>
      <c r="L16" s="30" t="s">
        <v>32</v>
      </c>
      <c r="M16" s="54" t="s">
        <v>355</v>
      </c>
    </row>
    <row r="17" spans="1:13" ht="51" x14ac:dyDescent="0.2">
      <c r="A17" s="19">
        <v>12</v>
      </c>
      <c r="B17" s="30" t="s">
        <v>394</v>
      </c>
      <c r="C17" s="30" t="s">
        <v>451</v>
      </c>
      <c r="D17" s="30" t="s">
        <v>325</v>
      </c>
      <c r="E17" s="30" t="s">
        <v>326</v>
      </c>
      <c r="F17" s="60"/>
      <c r="G17" s="60"/>
      <c r="H17" s="30" t="s">
        <v>377</v>
      </c>
      <c r="I17" s="54" t="s">
        <v>47</v>
      </c>
      <c r="J17" s="88" t="s">
        <v>39</v>
      </c>
      <c r="K17" s="30" t="s">
        <v>31</v>
      </c>
      <c r="L17" s="30" t="s">
        <v>32</v>
      </c>
      <c r="M17" s="54" t="s">
        <v>356</v>
      </c>
    </row>
    <row r="18" spans="1:13" ht="76.5" x14ac:dyDescent="0.2">
      <c r="A18" s="19">
        <v>12</v>
      </c>
      <c r="B18" s="30" t="s">
        <v>394</v>
      </c>
      <c r="C18" s="30" t="s">
        <v>451</v>
      </c>
      <c r="D18" s="30" t="s">
        <v>325</v>
      </c>
      <c r="E18" s="30" t="s">
        <v>326</v>
      </c>
      <c r="F18" s="60"/>
      <c r="G18" s="60"/>
      <c r="H18" s="30" t="s">
        <v>378</v>
      </c>
      <c r="I18" s="54" t="s">
        <v>50</v>
      </c>
      <c r="J18" s="88" t="s">
        <v>39</v>
      </c>
      <c r="K18" s="30" t="s">
        <v>31</v>
      </c>
      <c r="L18" s="30" t="s">
        <v>32</v>
      </c>
      <c r="M18" s="54" t="s">
        <v>357</v>
      </c>
    </row>
    <row r="19" spans="1:13" ht="25.5" x14ac:dyDescent="0.2">
      <c r="A19" s="19">
        <v>12</v>
      </c>
      <c r="B19" s="30" t="s">
        <v>394</v>
      </c>
      <c r="C19" s="30" t="s">
        <v>451</v>
      </c>
      <c r="D19" s="30" t="s">
        <v>325</v>
      </c>
      <c r="E19" s="30" t="s">
        <v>326</v>
      </c>
      <c r="F19" s="20"/>
      <c r="G19" s="20"/>
      <c r="H19" s="30" t="s">
        <v>379</v>
      </c>
      <c r="I19" s="54" t="s">
        <v>358</v>
      </c>
      <c r="J19" s="88" t="s">
        <v>39</v>
      </c>
      <c r="K19" s="30" t="s">
        <v>31</v>
      </c>
      <c r="L19" s="30" t="s">
        <v>32</v>
      </c>
      <c r="M19" s="54" t="s">
        <v>359</v>
      </c>
    </row>
    <row r="20" spans="1:13" ht="38.25" x14ac:dyDescent="0.2">
      <c r="A20" s="19">
        <v>12</v>
      </c>
      <c r="B20" s="30" t="s">
        <v>394</v>
      </c>
      <c r="C20" s="30" t="s">
        <v>451</v>
      </c>
      <c r="D20" s="30" t="s">
        <v>325</v>
      </c>
      <c r="E20" s="30" t="s">
        <v>326</v>
      </c>
      <c r="F20" s="20"/>
      <c r="G20" s="20"/>
      <c r="H20" s="30" t="s">
        <v>380</v>
      </c>
      <c r="I20" s="54" t="s">
        <v>360</v>
      </c>
      <c r="J20" s="88" t="s">
        <v>39</v>
      </c>
      <c r="K20" s="30" t="s">
        <v>31</v>
      </c>
      <c r="L20" s="30" t="s">
        <v>32</v>
      </c>
      <c r="M20" s="54" t="s">
        <v>361</v>
      </c>
    </row>
    <row r="21" spans="1:13" ht="38.25" x14ac:dyDescent="0.2">
      <c r="A21" s="19">
        <v>12</v>
      </c>
      <c r="B21" s="30" t="s">
        <v>394</v>
      </c>
      <c r="C21" s="30" t="s">
        <v>451</v>
      </c>
      <c r="D21" s="30" t="s">
        <v>325</v>
      </c>
      <c r="E21" s="30" t="s">
        <v>326</v>
      </c>
      <c r="F21" s="20"/>
      <c r="G21" s="20"/>
      <c r="H21" s="30" t="s">
        <v>381</v>
      </c>
      <c r="I21" s="54" t="s">
        <v>362</v>
      </c>
      <c r="J21" s="88" t="s">
        <v>39</v>
      </c>
      <c r="K21" s="30" t="s">
        <v>31</v>
      </c>
      <c r="L21" s="30" t="s">
        <v>32</v>
      </c>
      <c r="M21" s="54" t="s">
        <v>363</v>
      </c>
    </row>
    <row r="22" spans="1:13" ht="25.5" x14ac:dyDescent="0.2">
      <c r="A22" s="19">
        <v>12</v>
      </c>
      <c r="B22" s="30" t="s">
        <v>394</v>
      </c>
      <c r="C22" s="30" t="s">
        <v>451</v>
      </c>
      <c r="D22" s="30" t="s">
        <v>325</v>
      </c>
      <c r="E22" s="30" t="s">
        <v>326</v>
      </c>
      <c r="F22" s="20"/>
      <c r="G22" s="20"/>
      <c r="H22" s="30" t="s">
        <v>382</v>
      </c>
      <c r="I22" s="88" t="s">
        <v>364</v>
      </c>
      <c r="J22" s="88" t="s">
        <v>39</v>
      </c>
      <c r="K22" s="30" t="s">
        <v>31</v>
      </c>
      <c r="L22" s="30" t="s">
        <v>32</v>
      </c>
      <c r="M22" s="88" t="s">
        <v>365</v>
      </c>
    </row>
    <row r="23" spans="1:13" ht="25.5" x14ac:dyDescent="0.2">
      <c r="A23" s="19">
        <v>12</v>
      </c>
      <c r="B23" s="30" t="s">
        <v>394</v>
      </c>
      <c r="C23" s="30" t="s">
        <v>451</v>
      </c>
      <c r="D23" s="30" t="s">
        <v>325</v>
      </c>
      <c r="E23" s="30" t="s">
        <v>326</v>
      </c>
      <c r="F23" s="20"/>
      <c r="G23" s="20"/>
      <c r="H23" s="30" t="s">
        <v>383</v>
      </c>
      <c r="I23" s="54" t="s">
        <v>366</v>
      </c>
      <c r="J23" s="88" t="s">
        <v>39</v>
      </c>
      <c r="K23" s="30" t="s">
        <v>31</v>
      </c>
      <c r="L23" s="30" t="s">
        <v>32</v>
      </c>
      <c r="M23" s="88" t="s">
        <v>367</v>
      </c>
    </row>
    <row r="24" spans="1:13" ht="25.5" x14ac:dyDescent="0.2">
      <c r="A24" s="19">
        <v>12</v>
      </c>
      <c r="B24" s="30" t="s">
        <v>394</v>
      </c>
      <c r="C24" s="30" t="s">
        <v>451</v>
      </c>
      <c r="D24" s="30" t="s">
        <v>325</v>
      </c>
      <c r="E24" s="30" t="s">
        <v>326</v>
      </c>
      <c r="F24" s="20"/>
      <c r="G24" s="20"/>
      <c r="H24" s="30" t="s">
        <v>384</v>
      </c>
      <c r="I24" s="88" t="s">
        <v>368</v>
      </c>
      <c r="J24" s="88" t="s">
        <v>39</v>
      </c>
      <c r="K24" s="30" t="s">
        <v>31</v>
      </c>
      <c r="L24" s="30" t="s">
        <v>32</v>
      </c>
      <c r="M24" s="88" t="s">
        <v>363</v>
      </c>
    </row>
    <row r="25" spans="1:13" ht="25.5" x14ac:dyDescent="0.2">
      <c r="A25" s="19">
        <v>12</v>
      </c>
      <c r="B25" s="30" t="s">
        <v>394</v>
      </c>
      <c r="C25" s="30" t="s">
        <v>451</v>
      </c>
      <c r="D25" s="30" t="s">
        <v>325</v>
      </c>
      <c r="E25" s="30" t="s">
        <v>326</v>
      </c>
      <c r="F25" s="20"/>
      <c r="G25" s="20"/>
      <c r="H25" s="30" t="s">
        <v>385</v>
      </c>
      <c r="I25" s="88" t="s">
        <v>369</v>
      </c>
      <c r="J25" s="88" t="s">
        <v>39</v>
      </c>
      <c r="K25" s="30" t="s">
        <v>31</v>
      </c>
      <c r="L25" s="30" t="s">
        <v>32</v>
      </c>
      <c r="M25" s="88" t="s">
        <v>363</v>
      </c>
    </row>
    <row r="26" spans="1:13" ht="38.25" x14ac:dyDescent="0.2">
      <c r="A26" s="20">
        <v>1</v>
      </c>
      <c r="B26" s="97" t="s">
        <v>394</v>
      </c>
      <c r="C26" s="30" t="s">
        <v>451</v>
      </c>
      <c r="D26" s="20" t="s">
        <v>312</v>
      </c>
      <c r="E26" s="20" t="s">
        <v>312</v>
      </c>
      <c r="F26" s="6" t="s">
        <v>313</v>
      </c>
      <c r="G26" s="54" t="s">
        <v>314</v>
      </c>
      <c r="H26" s="26" t="s">
        <v>172</v>
      </c>
      <c r="I26" s="89" t="s">
        <v>173</v>
      </c>
      <c r="J26" s="60" t="s">
        <v>30</v>
      </c>
      <c r="K26" s="30" t="s">
        <v>31</v>
      </c>
      <c r="L26" s="6" t="s">
        <v>174</v>
      </c>
      <c r="M26" s="98" t="s">
        <v>453</v>
      </c>
    </row>
    <row r="27" spans="1:13" ht="76.5" x14ac:dyDescent="0.2">
      <c r="A27" s="20">
        <v>2</v>
      </c>
      <c r="B27" s="97" t="s">
        <v>394</v>
      </c>
      <c r="C27" s="30" t="s">
        <v>451</v>
      </c>
      <c r="D27" s="20" t="s">
        <v>312</v>
      </c>
      <c r="E27" s="20" t="s">
        <v>312</v>
      </c>
      <c r="F27" s="6" t="s">
        <v>313</v>
      </c>
      <c r="G27" s="54" t="s">
        <v>314</v>
      </c>
      <c r="H27" s="26" t="s">
        <v>175</v>
      </c>
      <c r="I27" s="89" t="s">
        <v>371</v>
      </c>
      <c r="J27" s="60" t="s">
        <v>30</v>
      </c>
      <c r="K27" s="30" t="s">
        <v>31</v>
      </c>
      <c r="L27" s="6" t="s">
        <v>174</v>
      </c>
      <c r="M27" s="98" t="s">
        <v>453</v>
      </c>
    </row>
    <row r="28" spans="1:13" ht="38.25" x14ac:dyDescent="0.2">
      <c r="A28" s="20">
        <v>3</v>
      </c>
      <c r="B28" s="97" t="s">
        <v>394</v>
      </c>
      <c r="C28" s="30" t="s">
        <v>451</v>
      </c>
      <c r="D28" s="20" t="s">
        <v>312</v>
      </c>
      <c r="E28" s="20" t="s">
        <v>312</v>
      </c>
      <c r="F28" s="6" t="s">
        <v>313</v>
      </c>
      <c r="G28" s="54" t="s">
        <v>314</v>
      </c>
      <c r="H28" s="26" t="s">
        <v>177</v>
      </c>
      <c r="I28" s="89" t="s">
        <v>178</v>
      </c>
      <c r="J28" s="60" t="s">
        <v>30</v>
      </c>
      <c r="K28" s="30" t="s">
        <v>31</v>
      </c>
      <c r="L28" s="6" t="s">
        <v>174</v>
      </c>
      <c r="M28" s="98" t="s">
        <v>453</v>
      </c>
    </row>
    <row r="29" spans="1:13" ht="51" x14ac:dyDescent="0.2">
      <c r="A29" s="20">
        <v>4</v>
      </c>
      <c r="B29" s="97" t="s">
        <v>394</v>
      </c>
      <c r="C29" s="30" t="s">
        <v>451</v>
      </c>
      <c r="D29" s="20" t="s">
        <v>312</v>
      </c>
      <c r="E29" s="20" t="s">
        <v>312</v>
      </c>
      <c r="F29" s="6" t="s">
        <v>313</v>
      </c>
      <c r="G29" s="54" t="s">
        <v>314</v>
      </c>
      <c r="H29" s="26" t="s">
        <v>27</v>
      </c>
      <c r="I29" s="89" t="s">
        <v>179</v>
      </c>
      <c r="J29" s="60" t="s">
        <v>30</v>
      </c>
      <c r="K29" s="30" t="s">
        <v>31</v>
      </c>
      <c r="L29" s="6" t="s">
        <v>174</v>
      </c>
      <c r="M29" s="98" t="s">
        <v>453</v>
      </c>
    </row>
    <row r="30" spans="1:13" ht="63.75" x14ac:dyDescent="0.2">
      <c r="A30" s="20">
        <v>5</v>
      </c>
      <c r="B30" s="97" t="s">
        <v>394</v>
      </c>
      <c r="C30" s="30" t="s">
        <v>451</v>
      </c>
      <c r="D30" s="20" t="s">
        <v>312</v>
      </c>
      <c r="E30" s="20" t="s">
        <v>312</v>
      </c>
      <c r="F30" s="6" t="s">
        <v>313</v>
      </c>
      <c r="G30" s="54" t="s">
        <v>315</v>
      </c>
      <c r="H30" s="26" t="s">
        <v>180</v>
      </c>
      <c r="I30" s="89" t="s">
        <v>181</v>
      </c>
      <c r="J30" s="60" t="s">
        <v>30</v>
      </c>
      <c r="K30" s="30" t="s">
        <v>31</v>
      </c>
      <c r="L30" s="6" t="s">
        <v>174</v>
      </c>
      <c r="M30" s="98" t="s">
        <v>453</v>
      </c>
    </row>
    <row r="31" spans="1:13" ht="38.25" x14ac:dyDescent="0.2">
      <c r="A31" s="20">
        <v>6</v>
      </c>
      <c r="B31" s="97" t="s">
        <v>394</v>
      </c>
      <c r="C31" s="30" t="s">
        <v>451</v>
      </c>
      <c r="D31" s="20" t="s">
        <v>312</v>
      </c>
      <c r="E31" s="20" t="s">
        <v>312</v>
      </c>
      <c r="F31" s="6" t="s">
        <v>313</v>
      </c>
      <c r="G31" s="54" t="s">
        <v>315</v>
      </c>
      <c r="H31" s="26" t="s">
        <v>182</v>
      </c>
      <c r="I31" s="89" t="s">
        <v>183</v>
      </c>
      <c r="J31" s="60" t="s">
        <v>30</v>
      </c>
      <c r="K31" s="30" t="s">
        <v>31</v>
      </c>
      <c r="L31" s="6" t="s">
        <v>174</v>
      </c>
      <c r="M31" s="98" t="s">
        <v>453</v>
      </c>
    </row>
    <row r="32" spans="1:13" ht="25.5" x14ac:dyDescent="0.2">
      <c r="A32" s="20">
        <v>7</v>
      </c>
      <c r="B32" s="97" t="s">
        <v>394</v>
      </c>
      <c r="C32" s="30" t="s">
        <v>451</v>
      </c>
      <c r="D32" s="20" t="s">
        <v>312</v>
      </c>
      <c r="E32" s="20" t="s">
        <v>312</v>
      </c>
      <c r="F32" s="6" t="s">
        <v>313</v>
      </c>
      <c r="G32" s="54" t="s">
        <v>315</v>
      </c>
      <c r="H32" s="26" t="s">
        <v>184</v>
      </c>
      <c r="I32" s="89" t="s">
        <v>185</v>
      </c>
      <c r="J32" s="60" t="s">
        <v>30</v>
      </c>
      <c r="K32" s="30" t="s">
        <v>31</v>
      </c>
      <c r="L32" s="6" t="s">
        <v>174</v>
      </c>
      <c r="M32" s="98" t="s">
        <v>453</v>
      </c>
    </row>
    <row r="33" spans="1:13" ht="38.25" x14ac:dyDescent="0.2">
      <c r="A33" s="20">
        <v>8</v>
      </c>
      <c r="B33" s="97" t="s">
        <v>394</v>
      </c>
      <c r="C33" s="30" t="s">
        <v>451</v>
      </c>
      <c r="D33" s="20" t="s">
        <v>312</v>
      </c>
      <c r="E33" s="20" t="s">
        <v>312</v>
      </c>
      <c r="F33" s="6" t="s">
        <v>313</v>
      </c>
      <c r="G33" s="54" t="s">
        <v>314</v>
      </c>
      <c r="H33" s="26" t="s">
        <v>186</v>
      </c>
      <c r="I33" s="89" t="s">
        <v>187</v>
      </c>
      <c r="J33" s="60" t="s">
        <v>30</v>
      </c>
      <c r="K33" s="30" t="s">
        <v>31</v>
      </c>
      <c r="L33" s="6" t="s">
        <v>174</v>
      </c>
      <c r="M33" s="98" t="s">
        <v>453</v>
      </c>
    </row>
    <row r="34" spans="1:13" ht="25.5" x14ac:dyDescent="0.2">
      <c r="A34" s="20">
        <v>9</v>
      </c>
      <c r="B34" s="97" t="s">
        <v>394</v>
      </c>
      <c r="C34" s="30" t="s">
        <v>451</v>
      </c>
      <c r="D34" s="20" t="s">
        <v>312</v>
      </c>
      <c r="E34" s="20" t="s">
        <v>312</v>
      </c>
      <c r="F34" s="6" t="s">
        <v>313</v>
      </c>
      <c r="G34" s="54" t="s">
        <v>314</v>
      </c>
      <c r="H34" s="26" t="s">
        <v>188</v>
      </c>
      <c r="I34" s="89" t="s">
        <v>370</v>
      </c>
      <c r="J34" s="60" t="s">
        <v>30</v>
      </c>
      <c r="K34" s="30" t="s">
        <v>31</v>
      </c>
      <c r="L34" s="6" t="s">
        <v>174</v>
      </c>
      <c r="M34" s="98" t="s">
        <v>453</v>
      </c>
    </row>
    <row r="35" spans="1:13" ht="38.25" x14ac:dyDescent="0.2">
      <c r="A35" s="20">
        <v>10</v>
      </c>
      <c r="B35" s="97" t="s">
        <v>394</v>
      </c>
      <c r="C35" s="30" t="s">
        <v>451</v>
      </c>
      <c r="D35" s="20" t="s">
        <v>312</v>
      </c>
      <c r="E35" s="20" t="s">
        <v>312</v>
      </c>
      <c r="F35" s="6" t="s">
        <v>313</v>
      </c>
      <c r="G35" s="54" t="s">
        <v>314</v>
      </c>
      <c r="H35" s="26" t="s">
        <v>190</v>
      </c>
      <c r="I35" s="89" t="s">
        <v>189</v>
      </c>
      <c r="J35" s="60" t="s">
        <v>30</v>
      </c>
      <c r="K35" s="30" t="s">
        <v>31</v>
      </c>
      <c r="L35" s="6" t="s">
        <v>174</v>
      </c>
      <c r="M35" s="98" t="s">
        <v>453</v>
      </c>
    </row>
    <row r="36" spans="1:13" ht="25.5" x14ac:dyDescent="0.2">
      <c r="A36" s="20">
        <v>11</v>
      </c>
      <c r="B36" s="97" t="s">
        <v>394</v>
      </c>
      <c r="C36" s="30" t="s">
        <v>451</v>
      </c>
      <c r="D36" s="20" t="s">
        <v>312</v>
      </c>
      <c r="E36" s="20" t="s">
        <v>312</v>
      </c>
      <c r="F36" s="6" t="s">
        <v>313</v>
      </c>
      <c r="G36" s="54" t="s">
        <v>314</v>
      </c>
      <c r="H36" s="26" t="s">
        <v>192</v>
      </c>
      <c r="I36" s="90" t="s">
        <v>372</v>
      </c>
      <c r="J36" s="91" t="s">
        <v>196</v>
      </c>
      <c r="K36" s="30" t="s">
        <v>31</v>
      </c>
      <c r="L36" s="6" t="s">
        <v>174</v>
      </c>
      <c r="M36" s="98" t="s">
        <v>454</v>
      </c>
    </row>
    <row r="37" spans="1:13" ht="38.25" x14ac:dyDescent="0.2">
      <c r="A37" s="20">
        <v>12</v>
      </c>
      <c r="B37" s="97" t="s">
        <v>394</v>
      </c>
      <c r="C37" s="30" t="s">
        <v>451</v>
      </c>
      <c r="D37" s="20" t="s">
        <v>312</v>
      </c>
      <c r="E37" s="20" t="s">
        <v>312</v>
      </c>
      <c r="F37" s="6" t="s">
        <v>313</v>
      </c>
      <c r="G37" s="54" t="s">
        <v>314</v>
      </c>
      <c r="H37" s="26" t="s">
        <v>194</v>
      </c>
      <c r="I37" s="13" t="s">
        <v>195</v>
      </c>
      <c r="J37" s="60" t="s">
        <v>196</v>
      </c>
      <c r="K37" s="30" t="s">
        <v>31</v>
      </c>
      <c r="L37" s="6" t="s">
        <v>174</v>
      </c>
      <c r="M37" s="98" t="s">
        <v>454</v>
      </c>
    </row>
    <row r="38" spans="1:13" ht="63.75" x14ac:dyDescent="0.2">
      <c r="A38" s="20">
        <v>13</v>
      </c>
      <c r="B38" s="97" t="s">
        <v>394</v>
      </c>
      <c r="C38" s="30" t="s">
        <v>451</v>
      </c>
      <c r="D38" s="20" t="s">
        <v>312</v>
      </c>
      <c r="E38" s="20" t="s">
        <v>312</v>
      </c>
      <c r="F38" s="6" t="s">
        <v>313</v>
      </c>
      <c r="G38" s="54" t="s">
        <v>314</v>
      </c>
      <c r="H38" s="26" t="s">
        <v>197</v>
      </c>
      <c r="I38" s="13" t="s">
        <v>198</v>
      </c>
      <c r="J38" s="60" t="s">
        <v>196</v>
      </c>
      <c r="K38" s="30" t="s">
        <v>31</v>
      </c>
      <c r="L38" s="6" t="s">
        <v>174</v>
      </c>
      <c r="M38" s="98" t="s">
        <v>454</v>
      </c>
    </row>
    <row r="39" spans="1:13" ht="63.75" x14ac:dyDescent="0.2">
      <c r="A39" s="20">
        <v>14</v>
      </c>
      <c r="B39" s="97" t="s">
        <v>394</v>
      </c>
      <c r="C39" s="30" t="s">
        <v>451</v>
      </c>
      <c r="D39" s="20" t="s">
        <v>312</v>
      </c>
      <c r="E39" s="20" t="s">
        <v>312</v>
      </c>
      <c r="F39" s="6" t="s">
        <v>313</v>
      </c>
      <c r="G39" s="54" t="s">
        <v>314</v>
      </c>
      <c r="H39" s="26" t="s">
        <v>199</v>
      </c>
      <c r="I39" s="13" t="s">
        <v>200</v>
      </c>
      <c r="J39" s="60" t="s">
        <v>196</v>
      </c>
      <c r="K39" s="30" t="s">
        <v>31</v>
      </c>
      <c r="L39" s="6" t="s">
        <v>174</v>
      </c>
      <c r="M39" s="98" t="s">
        <v>454</v>
      </c>
    </row>
    <row r="40" spans="1:13" ht="38.25" x14ac:dyDescent="0.2">
      <c r="A40" s="20">
        <v>15</v>
      </c>
      <c r="B40" s="97" t="s">
        <v>394</v>
      </c>
      <c r="C40" s="30" t="s">
        <v>451</v>
      </c>
      <c r="D40" s="20" t="s">
        <v>312</v>
      </c>
      <c r="E40" s="20" t="s">
        <v>312</v>
      </c>
      <c r="F40" s="6" t="s">
        <v>313</v>
      </c>
      <c r="G40" s="54" t="s">
        <v>315</v>
      </c>
      <c r="H40" s="26" t="s">
        <v>201</v>
      </c>
      <c r="I40" s="13" t="s">
        <v>202</v>
      </c>
      <c r="J40" s="60" t="s">
        <v>196</v>
      </c>
      <c r="K40" s="30" t="s">
        <v>31</v>
      </c>
      <c r="L40" s="6" t="s">
        <v>174</v>
      </c>
      <c r="M40" s="98" t="s">
        <v>454</v>
      </c>
    </row>
    <row r="41" spans="1:13" ht="63.75" x14ac:dyDescent="0.2">
      <c r="A41" s="20">
        <v>16</v>
      </c>
      <c r="B41" s="97" t="s">
        <v>394</v>
      </c>
      <c r="C41" s="30" t="s">
        <v>451</v>
      </c>
      <c r="D41" s="20" t="s">
        <v>312</v>
      </c>
      <c r="E41" s="20" t="s">
        <v>312</v>
      </c>
      <c r="F41" s="6" t="s">
        <v>313</v>
      </c>
      <c r="G41" s="54" t="s">
        <v>315</v>
      </c>
      <c r="H41" s="26" t="s">
        <v>203</v>
      </c>
      <c r="I41" s="13" t="s">
        <v>204</v>
      </c>
      <c r="J41" s="60" t="s">
        <v>196</v>
      </c>
      <c r="K41" s="30" t="s">
        <v>31</v>
      </c>
      <c r="L41" s="6" t="s">
        <v>174</v>
      </c>
      <c r="M41" s="98" t="s">
        <v>454</v>
      </c>
    </row>
    <row r="42" spans="1:13" ht="51" x14ac:dyDescent="0.2">
      <c r="A42" s="20">
        <v>17</v>
      </c>
      <c r="B42" s="97" t="s">
        <v>394</v>
      </c>
      <c r="C42" s="30" t="s">
        <v>451</v>
      </c>
      <c r="D42" s="20" t="s">
        <v>312</v>
      </c>
      <c r="E42" s="20" t="s">
        <v>312</v>
      </c>
      <c r="F42" s="6" t="s">
        <v>313</v>
      </c>
      <c r="G42" s="54" t="s">
        <v>314</v>
      </c>
      <c r="H42" s="26" t="s">
        <v>205</v>
      </c>
      <c r="I42" s="13" t="s">
        <v>206</v>
      </c>
      <c r="J42" s="60" t="s">
        <v>196</v>
      </c>
      <c r="K42" s="30" t="s">
        <v>31</v>
      </c>
      <c r="L42" s="6" t="s">
        <v>174</v>
      </c>
      <c r="M42" s="98" t="s">
        <v>454</v>
      </c>
    </row>
    <row r="43" spans="1:13" ht="51" x14ac:dyDescent="0.2">
      <c r="A43" s="20">
        <v>18</v>
      </c>
      <c r="B43" s="97" t="s">
        <v>394</v>
      </c>
      <c r="C43" s="30" t="s">
        <v>451</v>
      </c>
      <c r="D43" s="20" t="s">
        <v>312</v>
      </c>
      <c r="E43" s="20" t="s">
        <v>312</v>
      </c>
      <c r="F43" s="6" t="s">
        <v>313</v>
      </c>
      <c r="G43" s="54" t="s">
        <v>314</v>
      </c>
      <c r="H43" s="26" t="s">
        <v>207</v>
      </c>
      <c r="I43" s="13" t="s">
        <v>208</v>
      </c>
      <c r="J43" s="60" t="s">
        <v>196</v>
      </c>
      <c r="K43" s="30" t="s">
        <v>31</v>
      </c>
      <c r="L43" s="6" t="s">
        <v>174</v>
      </c>
      <c r="M43" s="98" t="s">
        <v>454</v>
      </c>
    </row>
    <row r="44" spans="1:13" ht="127.5" x14ac:dyDescent="0.2">
      <c r="A44" s="20">
        <v>19</v>
      </c>
      <c r="B44" s="97" t="s">
        <v>394</v>
      </c>
      <c r="C44" s="30" t="s">
        <v>451</v>
      </c>
      <c r="D44" s="20" t="s">
        <v>312</v>
      </c>
      <c r="E44" s="20" t="s">
        <v>312</v>
      </c>
      <c r="F44" s="6" t="s">
        <v>313</v>
      </c>
      <c r="G44" s="26" t="s">
        <v>314</v>
      </c>
      <c r="H44" s="26" t="s">
        <v>209</v>
      </c>
      <c r="I44" s="13" t="s">
        <v>210</v>
      </c>
      <c r="J44" s="60" t="s">
        <v>196</v>
      </c>
      <c r="K44" s="30" t="s">
        <v>31</v>
      </c>
      <c r="L44" s="6" t="s">
        <v>174</v>
      </c>
      <c r="M44" s="98" t="s">
        <v>454</v>
      </c>
    </row>
    <row r="45" spans="1:13" ht="38.25" x14ac:dyDescent="0.2">
      <c r="A45" s="20">
        <v>20</v>
      </c>
      <c r="B45" s="97" t="s">
        <v>394</v>
      </c>
      <c r="C45" s="30" t="s">
        <v>451</v>
      </c>
      <c r="D45" s="20" t="s">
        <v>312</v>
      </c>
      <c r="E45" s="20" t="s">
        <v>312</v>
      </c>
      <c r="F45" s="6" t="s">
        <v>313</v>
      </c>
      <c r="G45" s="54" t="s">
        <v>314</v>
      </c>
      <c r="H45" s="26" t="s">
        <v>211</v>
      </c>
      <c r="I45" s="13" t="s">
        <v>212</v>
      </c>
      <c r="J45" s="60" t="s">
        <v>196</v>
      </c>
      <c r="K45" s="30" t="s">
        <v>31</v>
      </c>
      <c r="L45" s="6" t="s">
        <v>174</v>
      </c>
      <c r="M45" s="98" t="s">
        <v>454</v>
      </c>
    </row>
    <row r="46" spans="1:13" ht="51" x14ac:dyDescent="0.2">
      <c r="A46" s="20">
        <v>21</v>
      </c>
      <c r="B46" s="97" t="s">
        <v>394</v>
      </c>
      <c r="C46" s="30" t="s">
        <v>451</v>
      </c>
      <c r="D46" s="20" t="s">
        <v>312</v>
      </c>
      <c r="E46" s="20" t="s">
        <v>312</v>
      </c>
      <c r="F46" s="6" t="s">
        <v>313</v>
      </c>
      <c r="G46" s="54" t="s">
        <v>315</v>
      </c>
      <c r="H46" s="26" t="s">
        <v>213</v>
      </c>
      <c r="I46" s="13" t="s">
        <v>214</v>
      </c>
      <c r="J46" s="60" t="s">
        <v>196</v>
      </c>
      <c r="K46" s="30" t="s">
        <v>31</v>
      </c>
      <c r="L46" s="6" t="s">
        <v>174</v>
      </c>
      <c r="M46" s="98" t="s">
        <v>454</v>
      </c>
    </row>
    <row r="47" spans="1:13" ht="51" x14ac:dyDescent="0.2">
      <c r="A47" s="20">
        <v>22</v>
      </c>
      <c r="B47" s="97" t="s">
        <v>394</v>
      </c>
      <c r="C47" s="30" t="s">
        <v>451</v>
      </c>
      <c r="D47" s="20" t="s">
        <v>312</v>
      </c>
      <c r="E47" s="20" t="s">
        <v>312</v>
      </c>
      <c r="F47" s="6" t="s">
        <v>313</v>
      </c>
      <c r="G47" s="54" t="s">
        <v>315</v>
      </c>
      <c r="H47" s="26" t="s">
        <v>215</v>
      </c>
      <c r="I47" s="13" t="s">
        <v>216</v>
      </c>
      <c r="J47" s="60" t="s">
        <v>196</v>
      </c>
      <c r="K47" s="30" t="s">
        <v>31</v>
      </c>
      <c r="L47" s="6" t="s">
        <v>174</v>
      </c>
      <c r="M47" s="98" t="s">
        <v>454</v>
      </c>
    </row>
    <row r="48" spans="1:13" ht="38.25" x14ac:dyDescent="0.2">
      <c r="A48" s="20">
        <v>23</v>
      </c>
      <c r="B48" s="97" t="s">
        <v>394</v>
      </c>
      <c r="C48" s="30" t="s">
        <v>451</v>
      </c>
      <c r="D48" s="20" t="s">
        <v>312</v>
      </c>
      <c r="E48" s="20" t="s">
        <v>312</v>
      </c>
      <c r="F48" s="6" t="s">
        <v>313</v>
      </c>
      <c r="G48" s="54" t="s">
        <v>314</v>
      </c>
      <c r="H48" s="26" t="s">
        <v>217</v>
      </c>
      <c r="I48" s="13" t="s">
        <v>218</v>
      </c>
      <c r="J48" s="60" t="s">
        <v>196</v>
      </c>
      <c r="K48" s="30" t="s">
        <v>31</v>
      </c>
      <c r="L48" s="6" t="s">
        <v>174</v>
      </c>
      <c r="M48" s="98" t="s">
        <v>454</v>
      </c>
    </row>
    <row r="49" spans="1:13" ht="38.25" x14ac:dyDescent="0.2">
      <c r="A49" s="20">
        <v>24</v>
      </c>
      <c r="B49" s="97" t="s">
        <v>394</v>
      </c>
      <c r="C49" s="30" t="s">
        <v>451</v>
      </c>
      <c r="D49" s="20" t="s">
        <v>312</v>
      </c>
      <c r="E49" s="20" t="s">
        <v>312</v>
      </c>
      <c r="F49" s="6" t="s">
        <v>313</v>
      </c>
      <c r="G49" s="54" t="s">
        <v>315</v>
      </c>
      <c r="H49" s="26" t="s">
        <v>219</v>
      </c>
      <c r="I49" s="13" t="s">
        <v>220</v>
      </c>
      <c r="J49" s="60" t="s">
        <v>196</v>
      </c>
      <c r="K49" s="30" t="s">
        <v>31</v>
      </c>
      <c r="L49" s="6" t="s">
        <v>174</v>
      </c>
      <c r="M49" s="98" t="s">
        <v>454</v>
      </c>
    </row>
    <row r="50" spans="1:13" ht="25.5" x14ac:dyDescent="0.2">
      <c r="A50" s="20">
        <v>25</v>
      </c>
      <c r="B50" s="97" t="s">
        <v>394</v>
      </c>
      <c r="C50" s="30" t="s">
        <v>451</v>
      </c>
      <c r="D50" s="20" t="s">
        <v>312</v>
      </c>
      <c r="E50" s="20" t="s">
        <v>312</v>
      </c>
      <c r="F50" s="6" t="s">
        <v>313</v>
      </c>
      <c r="G50" s="54" t="s">
        <v>315</v>
      </c>
      <c r="H50" s="26" t="s">
        <v>221</v>
      </c>
      <c r="I50" s="13" t="s">
        <v>222</v>
      </c>
      <c r="J50" s="60" t="s">
        <v>196</v>
      </c>
      <c r="K50" s="30" t="s">
        <v>31</v>
      </c>
      <c r="L50" s="6" t="s">
        <v>174</v>
      </c>
      <c r="M50" s="98" t="s">
        <v>454</v>
      </c>
    </row>
    <row r="51" spans="1:13" ht="38.25" x14ac:dyDescent="0.2">
      <c r="A51" s="20">
        <v>26</v>
      </c>
      <c r="B51" s="97" t="s">
        <v>394</v>
      </c>
      <c r="C51" s="30" t="s">
        <v>451</v>
      </c>
      <c r="D51" s="20" t="s">
        <v>312</v>
      </c>
      <c r="E51" s="20" t="s">
        <v>312</v>
      </c>
      <c r="F51" s="6" t="s">
        <v>313</v>
      </c>
      <c r="G51" s="54" t="s">
        <v>314</v>
      </c>
      <c r="H51" s="26" t="s">
        <v>223</v>
      </c>
      <c r="I51" s="13" t="s">
        <v>224</v>
      </c>
      <c r="J51" s="60" t="s">
        <v>225</v>
      </c>
      <c r="K51" s="30" t="s">
        <v>31</v>
      </c>
      <c r="L51" s="6" t="s">
        <v>174</v>
      </c>
      <c r="M51" s="99" t="s">
        <v>455</v>
      </c>
    </row>
    <row r="52" spans="1:13" ht="51" x14ac:dyDescent="0.2">
      <c r="A52" s="20">
        <v>27</v>
      </c>
      <c r="B52" s="97" t="s">
        <v>394</v>
      </c>
      <c r="C52" s="30" t="s">
        <v>451</v>
      </c>
      <c r="D52" s="20" t="s">
        <v>312</v>
      </c>
      <c r="E52" s="20" t="s">
        <v>312</v>
      </c>
      <c r="F52" s="6" t="s">
        <v>313</v>
      </c>
      <c r="G52" s="54" t="s">
        <v>315</v>
      </c>
      <c r="H52" s="26" t="s">
        <v>226</v>
      </c>
      <c r="I52" s="13" t="s">
        <v>227</v>
      </c>
      <c r="J52" s="60" t="s">
        <v>225</v>
      </c>
      <c r="K52" s="30" t="s">
        <v>31</v>
      </c>
      <c r="L52" s="6" t="s">
        <v>174</v>
      </c>
      <c r="M52" s="99" t="s">
        <v>455</v>
      </c>
    </row>
    <row r="53" spans="1:13" ht="51" x14ac:dyDescent="0.2">
      <c r="A53" s="20">
        <v>28</v>
      </c>
      <c r="B53" s="97" t="s">
        <v>394</v>
      </c>
      <c r="C53" s="30" t="s">
        <v>451</v>
      </c>
      <c r="D53" s="20" t="s">
        <v>312</v>
      </c>
      <c r="E53" s="20" t="s">
        <v>312</v>
      </c>
      <c r="F53" s="6" t="s">
        <v>313</v>
      </c>
      <c r="G53" s="54" t="s">
        <v>315</v>
      </c>
      <c r="H53" s="26" t="s">
        <v>228</v>
      </c>
      <c r="I53" s="13" t="s">
        <v>229</v>
      </c>
      <c r="J53" s="60" t="s">
        <v>225</v>
      </c>
      <c r="K53" s="30" t="s">
        <v>31</v>
      </c>
      <c r="L53" s="6" t="s">
        <v>174</v>
      </c>
      <c r="M53" s="99" t="s">
        <v>455</v>
      </c>
    </row>
  </sheetData>
  <autoFilter ref="A1:M53" xr:uid="{8017651E-4474-4C22-B511-628B95148EAD}"/>
  <phoneticPr fontId="10"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6D532-FC1A-4D04-BD4D-27C2CFA69551}">
  <dimension ref="A1:M51"/>
  <sheetViews>
    <sheetView tabSelected="1" topLeftCell="C1" zoomScale="85" zoomScaleNormal="85" workbookViewId="0">
      <pane ySplit="1" topLeftCell="A45" activePane="bottomLeft" state="frozen"/>
      <selection pane="bottomLeft" activeCell="M49" sqref="M49:M51"/>
    </sheetView>
  </sheetViews>
  <sheetFormatPr baseColWidth="10" defaultColWidth="11.42578125" defaultRowHeight="14.25" x14ac:dyDescent="0.2"/>
  <cols>
    <col min="1" max="1" width="11.42578125" style="47"/>
    <col min="2" max="3" width="29.85546875" style="42" customWidth="1"/>
    <col min="4" max="4" width="21.42578125" style="42" customWidth="1"/>
    <col min="5" max="5" width="34.85546875" style="42" customWidth="1"/>
    <col min="6" max="6" width="19" style="47" customWidth="1"/>
    <col min="7" max="7" width="20.5703125" style="42" customWidth="1"/>
    <col min="8" max="8" width="19.140625" style="42" customWidth="1"/>
    <col min="9" max="9" width="43.7109375" style="42" customWidth="1"/>
    <col min="10" max="10" width="22.85546875" style="42" customWidth="1"/>
    <col min="11" max="11" width="22.42578125" style="42" customWidth="1"/>
    <col min="12" max="12" width="18" style="42" customWidth="1"/>
    <col min="13" max="13" width="52" style="42" customWidth="1"/>
    <col min="14" max="16384" width="11.42578125" style="42"/>
  </cols>
  <sheetData>
    <row r="1" spans="1:13" s="43" customFormat="1" ht="45" x14ac:dyDescent="0.2">
      <c r="A1" s="37" t="s">
        <v>311</v>
      </c>
      <c r="B1" s="38" t="s">
        <v>305</v>
      </c>
      <c r="C1" s="28" t="s">
        <v>450</v>
      </c>
      <c r="D1" s="38" t="s">
        <v>306</v>
      </c>
      <c r="E1" s="38" t="s">
        <v>307</v>
      </c>
      <c r="F1" s="38" t="s">
        <v>308</v>
      </c>
      <c r="G1" s="38" t="s">
        <v>309</v>
      </c>
      <c r="H1" s="38" t="s">
        <v>4</v>
      </c>
      <c r="I1" s="39" t="s">
        <v>5</v>
      </c>
      <c r="J1" s="39" t="s">
        <v>6</v>
      </c>
      <c r="K1" s="39" t="s">
        <v>7</v>
      </c>
      <c r="L1" s="39" t="s">
        <v>8</v>
      </c>
      <c r="M1" s="40" t="s">
        <v>9</v>
      </c>
    </row>
    <row r="2" spans="1:13" ht="28.5" x14ac:dyDescent="0.2">
      <c r="A2" s="36">
        <v>1</v>
      </c>
      <c r="B2" s="45" t="s">
        <v>394</v>
      </c>
      <c r="C2" s="45" t="s">
        <v>452</v>
      </c>
      <c r="D2" s="45" t="s">
        <v>395</v>
      </c>
      <c r="E2" s="36" t="s">
        <v>373</v>
      </c>
      <c r="F2" s="50" t="s">
        <v>310</v>
      </c>
      <c r="G2" s="30"/>
      <c r="H2" s="50" t="s">
        <v>418</v>
      </c>
      <c r="I2" s="44" t="s">
        <v>440</v>
      </c>
      <c r="J2" s="92" t="s">
        <v>39</v>
      </c>
      <c r="K2" s="41" t="s">
        <v>31</v>
      </c>
      <c r="L2" s="45" t="s">
        <v>131</v>
      </c>
      <c r="M2" s="45" t="s">
        <v>396</v>
      </c>
    </row>
    <row r="3" spans="1:13" ht="28.5" x14ac:dyDescent="0.2">
      <c r="A3" s="36">
        <v>2</v>
      </c>
      <c r="B3" s="45" t="s">
        <v>394</v>
      </c>
      <c r="C3" s="45" t="s">
        <v>452</v>
      </c>
      <c r="D3" s="45" t="s">
        <v>395</v>
      </c>
      <c r="E3" s="36" t="s">
        <v>373</v>
      </c>
      <c r="F3" s="50" t="s">
        <v>310</v>
      </c>
      <c r="G3" s="30"/>
      <c r="H3" s="50" t="s">
        <v>419</v>
      </c>
      <c r="I3" s="44" t="s">
        <v>441</v>
      </c>
      <c r="J3" s="92" t="s">
        <v>39</v>
      </c>
      <c r="K3" s="41" t="s">
        <v>31</v>
      </c>
      <c r="L3" s="45" t="s">
        <v>131</v>
      </c>
      <c r="M3" s="45" t="s">
        <v>396</v>
      </c>
    </row>
    <row r="4" spans="1:13" ht="28.5" x14ac:dyDescent="0.2">
      <c r="A4" s="36">
        <v>3</v>
      </c>
      <c r="B4" s="45" t="s">
        <v>394</v>
      </c>
      <c r="C4" s="45" t="s">
        <v>452</v>
      </c>
      <c r="D4" s="45" t="s">
        <v>395</v>
      </c>
      <c r="E4" s="36" t="s">
        <v>373</v>
      </c>
      <c r="F4" s="50" t="s">
        <v>310</v>
      </c>
      <c r="G4" s="30"/>
      <c r="H4" s="50" t="s">
        <v>420</v>
      </c>
      <c r="I4" s="44" t="s">
        <v>442</v>
      </c>
      <c r="J4" s="92" t="s">
        <v>39</v>
      </c>
      <c r="K4" s="41" t="s">
        <v>31</v>
      </c>
      <c r="L4" s="45" t="s">
        <v>131</v>
      </c>
      <c r="M4" s="45" t="s">
        <v>396</v>
      </c>
    </row>
    <row r="5" spans="1:13" ht="42.75" x14ac:dyDescent="0.2">
      <c r="A5" s="36">
        <v>4</v>
      </c>
      <c r="B5" s="45" t="s">
        <v>394</v>
      </c>
      <c r="C5" s="45" t="s">
        <v>452</v>
      </c>
      <c r="D5" s="45" t="s">
        <v>395</v>
      </c>
      <c r="E5" s="36" t="s">
        <v>373</v>
      </c>
      <c r="F5" s="50" t="s">
        <v>310</v>
      </c>
      <c r="G5" s="30"/>
      <c r="H5" s="50" t="s">
        <v>421</v>
      </c>
      <c r="I5" s="44" t="s">
        <v>443</v>
      </c>
      <c r="J5" s="92" t="s">
        <v>39</v>
      </c>
      <c r="K5" s="41" t="s">
        <v>31</v>
      </c>
      <c r="L5" s="45" t="s">
        <v>131</v>
      </c>
      <c r="M5" s="45" t="s">
        <v>396</v>
      </c>
    </row>
    <row r="6" spans="1:13" ht="42.75" x14ac:dyDescent="0.2">
      <c r="A6" s="36">
        <v>5</v>
      </c>
      <c r="B6" s="45" t="s">
        <v>394</v>
      </c>
      <c r="C6" s="45" t="s">
        <v>452</v>
      </c>
      <c r="D6" s="45" t="s">
        <v>395</v>
      </c>
      <c r="E6" s="36" t="s">
        <v>373</v>
      </c>
      <c r="F6" s="50" t="s">
        <v>310</v>
      </c>
      <c r="G6" s="94"/>
      <c r="H6" s="50" t="s">
        <v>422</v>
      </c>
      <c r="I6" s="44" t="s">
        <v>444</v>
      </c>
      <c r="J6" s="92" t="s">
        <v>39</v>
      </c>
      <c r="K6" s="41" t="s">
        <v>31</v>
      </c>
      <c r="L6" s="45" t="s">
        <v>131</v>
      </c>
      <c r="M6" s="93" t="s">
        <v>396</v>
      </c>
    </row>
    <row r="7" spans="1:13" ht="42.75" x14ac:dyDescent="0.2">
      <c r="A7" s="36">
        <v>6</v>
      </c>
      <c r="B7" s="45" t="s">
        <v>394</v>
      </c>
      <c r="C7" s="45" t="s">
        <v>452</v>
      </c>
      <c r="D7" s="45" t="s">
        <v>395</v>
      </c>
      <c r="E7" s="36" t="s">
        <v>373</v>
      </c>
      <c r="F7" s="50" t="s">
        <v>310</v>
      </c>
      <c r="G7" s="94"/>
      <c r="H7" s="50" t="s">
        <v>423</v>
      </c>
      <c r="I7" s="46" t="s">
        <v>445</v>
      </c>
      <c r="J7" s="92" t="s">
        <v>39</v>
      </c>
      <c r="K7" s="41" t="s">
        <v>31</v>
      </c>
      <c r="L7" s="45" t="s">
        <v>131</v>
      </c>
      <c r="M7" s="45" t="s">
        <v>396</v>
      </c>
    </row>
    <row r="8" spans="1:13" ht="42.75" x14ac:dyDescent="0.2">
      <c r="A8" s="36">
        <v>7</v>
      </c>
      <c r="B8" s="45" t="s">
        <v>394</v>
      </c>
      <c r="C8" s="45" t="s">
        <v>452</v>
      </c>
      <c r="D8" s="45" t="s">
        <v>395</v>
      </c>
      <c r="E8" s="36" t="s">
        <v>373</v>
      </c>
      <c r="F8" s="50" t="s">
        <v>310</v>
      </c>
      <c r="G8" s="95"/>
      <c r="H8" s="50" t="s">
        <v>424</v>
      </c>
      <c r="I8" s="93" t="s">
        <v>446</v>
      </c>
      <c r="J8" s="92" t="s">
        <v>39</v>
      </c>
      <c r="K8" s="41" t="s">
        <v>31</v>
      </c>
      <c r="L8" s="45" t="s">
        <v>131</v>
      </c>
      <c r="M8" s="92" t="s">
        <v>396</v>
      </c>
    </row>
    <row r="9" spans="1:13" ht="28.5" x14ac:dyDescent="0.2">
      <c r="A9" s="36">
        <v>8</v>
      </c>
      <c r="B9" s="45" t="s">
        <v>394</v>
      </c>
      <c r="C9" s="45" t="s">
        <v>452</v>
      </c>
      <c r="D9" s="45" t="s">
        <v>395</v>
      </c>
      <c r="E9" s="36" t="s">
        <v>373</v>
      </c>
      <c r="F9" s="36" t="s">
        <v>397</v>
      </c>
      <c r="G9" s="92"/>
      <c r="H9" s="50" t="s">
        <v>425</v>
      </c>
      <c r="I9" s="93" t="s">
        <v>447</v>
      </c>
      <c r="J9" s="92" t="s">
        <v>39</v>
      </c>
      <c r="K9" s="41" t="s">
        <v>31</v>
      </c>
      <c r="L9" s="45" t="s">
        <v>131</v>
      </c>
      <c r="M9" s="92" t="s">
        <v>396</v>
      </c>
    </row>
    <row r="10" spans="1:13" ht="28.5" x14ac:dyDescent="0.2">
      <c r="A10" s="36">
        <v>9</v>
      </c>
      <c r="B10" s="45" t="s">
        <v>394</v>
      </c>
      <c r="C10" s="45" t="s">
        <v>452</v>
      </c>
      <c r="D10" s="45" t="s">
        <v>395</v>
      </c>
      <c r="E10" s="36" t="s">
        <v>373</v>
      </c>
      <c r="F10" s="36" t="s">
        <v>397</v>
      </c>
      <c r="G10" s="92"/>
      <c r="H10" s="50" t="s">
        <v>426</v>
      </c>
      <c r="I10" s="96" t="s">
        <v>448</v>
      </c>
      <c r="J10" s="92" t="s">
        <v>39</v>
      </c>
      <c r="K10" s="41" t="s">
        <v>31</v>
      </c>
      <c r="L10" s="45" t="s">
        <v>131</v>
      </c>
      <c r="M10" s="92" t="s">
        <v>396</v>
      </c>
    </row>
    <row r="11" spans="1:13" ht="57" x14ac:dyDescent="0.2">
      <c r="A11" s="36">
        <v>10</v>
      </c>
      <c r="B11" s="45" t="s">
        <v>394</v>
      </c>
      <c r="C11" s="45" t="s">
        <v>452</v>
      </c>
      <c r="D11" s="45" t="s">
        <v>395</v>
      </c>
      <c r="E11" s="36" t="s">
        <v>373</v>
      </c>
      <c r="F11" s="36" t="s">
        <v>397</v>
      </c>
      <c r="G11" s="92"/>
      <c r="H11" s="50" t="s">
        <v>427</v>
      </c>
      <c r="I11" s="93" t="s">
        <v>449</v>
      </c>
      <c r="J11" s="92" t="s">
        <v>39</v>
      </c>
      <c r="K11" s="41" t="s">
        <v>31</v>
      </c>
      <c r="L11" s="45" t="s">
        <v>131</v>
      </c>
      <c r="M11" s="92" t="s">
        <v>396</v>
      </c>
    </row>
    <row r="12" spans="1:13" ht="28.5" x14ac:dyDescent="0.2">
      <c r="A12" s="36">
        <v>11</v>
      </c>
      <c r="B12" s="45" t="s">
        <v>394</v>
      </c>
      <c r="C12" s="45" t="s">
        <v>452</v>
      </c>
      <c r="D12" s="45" t="s">
        <v>395</v>
      </c>
      <c r="E12" s="36" t="s">
        <v>373</v>
      </c>
      <c r="F12" s="36" t="s">
        <v>397</v>
      </c>
      <c r="G12" s="92"/>
      <c r="H12" s="50" t="s">
        <v>428</v>
      </c>
      <c r="I12" s="92" t="s">
        <v>398</v>
      </c>
      <c r="J12" s="92" t="s">
        <v>39</v>
      </c>
      <c r="K12" s="41" t="s">
        <v>31</v>
      </c>
      <c r="L12" s="45" t="s">
        <v>131</v>
      </c>
      <c r="M12" s="93" t="s">
        <v>399</v>
      </c>
    </row>
    <row r="13" spans="1:13" ht="28.5" x14ac:dyDescent="0.2">
      <c r="A13" s="36">
        <v>12</v>
      </c>
      <c r="B13" s="45" t="s">
        <v>394</v>
      </c>
      <c r="C13" s="45" t="s">
        <v>452</v>
      </c>
      <c r="D13" s="45" t="s">
        <v>395</v>
      </c>
      <c r="E13" s="36" t="s">
        <v>373</v>
      </c>
      <c r="F13" s="36" t="s">
        <v>397</v>
      </c>
      <c r="G13" s="92"/>
      <c r="H13" s="50" t="s">
        <v>429</v>
      </c>
      <c r="I13" s="92" t="s">
        <v>400</v>
      </c>
      <c r="J13" s="92" t="s">
        <v>39</v>
      </c>
      <c r="K13" s="41" t="s">
        <v>31</v>
      </c>
      <c r="L13" s="45" t="s">
        <v>131</v>
      </c>
      <c r="M13" s="93" t="s">
        <v>401</v>
      </c>
    </row>
    <row r="14" spans="1:13" ht="71.25" x14ac:dyDescent="0.2">
      <c r="A14" s="36">
        <v>13</v>
      </c>
      <c r="B14" s="45" t="s">
        <v>394</v>
      </c>
      <c r="C14" s="45" t="s">
        <v>452</v>
      </c>
      <c r="D14" s="45" t="s">
        <v>395</v>
      </c>
      <c r="E14" s="36" t="s">
        <v>373</v>
      </c>
      <c r="F14" s="45" t="s">
        <v>417</v>
      </c>
      <c r="G14" s="92"/>
      <c r="H14" s="50" t="s">
        <v>430</v>
      </c>
      <c r="I14" s="93" t="s">
        <v>402</v>
      </c>
      <c r="J14" s="92" t="s">
        <v>30</v>
      </c>
      <c r="K14" s="41" t="s">
        <v>31</v>
      </c>
      <c r="L14" s="45" t="s">
        <v>131</v>
      </c>
      <c r="M14" s="93" t="s">
        <v>403</v>
      </c>
    </row>
    <row r="15" spans="1:13" ht="28.5" x14ac:dyDescent="0.2">
      <c r="A15" s="36">
        <v>14</v>
      </c>
      <c r="B15" s="45" t="s">
        <v>394</v>
      </c>
      <c r="C15" s="45" t="s">
        <v>452</v>
      </c>
      <c r="D15" s="45" t="s">
        <v>395</v>
      </c>
      <c r="E15" s="36" t="s">
        <v>373</v>
      </c>
      <c r="F15" s="45" t="s">
        <v>417</v>
      </c>
      <c r="G15" s="92"/>
      <c r="H15" s="50" t="s">
        <v>431</v>
      </c>
      <c r="I15" s="93" t="s">
        <v>404</v>
      </c>
      <c r="J15" s="92" t="s">
        <v>30</v>
      </c>
      <c r="K15" s="41" t="s">
        <v>31</v>
      </c>
      <c r="L15" s="45" t="s">
        <v>131</v>
      </c>
      <c r="M15" s="93" t="s">
        <v>405</v>
      </c>
    </row>
    <row r="16" spans="1:13" ht="57" x14ac:dyDescent="0.2">
      <c r="A16" s="36">
        <v>15</v>
      </c>
      <c r="B16" s="45" t="s">
        <v>394</v>
      </c>
      <c r="C16" s="45" t="s">
        <v>452</v>
      </c>
      <c r="D16" s="45" t="s">
        <v>395</v>
      </c>
      <c r="E16" s="36" t="s">
        <v>373</v>
      </c>
      <c r="F16" s="45" t="s">
        <v>417</v>
      </c>
      <c r="G16" s="92"/>
      <c r="H16" s="50" t="s">
        <v>432</v>
      </c>
      <c r="I16" s="93" t="s">
        <v>406</v>
      </c>
      <c r="J16" s="92" t="s">
        <v>39</v>
      </c>
      <c r="K16" s="41" t="s">
        <v>31</v>
      </c>
      <c r="L16" s="45" t="s">
        <v>131</v>
      </c>
      <c r="M16" s="93" t="s">
        <v>110</v>
      </c>
    </row>
    <row r="17" spans="1:13" ht="28.5" x14ac:dyDescent="0.2">
      <c r="A17" s="36">
        <v>16</v>
      </c>
      <c r="B17" s="45" t="s">
        <v>394</v>
      </c>
      <c r="C17" s="45" t="s">
        <v>452</v>
      </c>
      <c r="D17" s="45" t="s">
        <v>395</v>
      </c>
      <c r="E17" s="36" t="s">
        <v>373</v>
      </c>
      <c r="F17" s="45" t="s">
        <v>417</v>
      </c>
      <c r="G17" s="92"/>
      <c r="H17" s="50" t="s">
        <v>433</v>
      </c>
      <c r="I17" s="93" t="s">
        <v>42</v>
      </c>
      <c r="J17" s="92" t="s">
        <v>39</v>
      </c>
      <c r="K17" s="41" t="s">
        <v>31</v>
      </c>
      <c r="L17" s="45" t="s">
        <v>131</v>
      </c>
      <c r="M17" s="92" t="s">
        <v>407</v>
      </c>
    </row>
    <row r="18" spans="1:13" ht="185.25" x14ac:dyDescent="0.2">
      <c r="A18" s="36">
        <v>17</v>
      </c>
      <c r="B18" s="45" t="s">
        <v>394</v>
      </c>
      <c r="C18" s="45" t="s">
        <v>452</v>
      </c>
      <c r="D18" s="45" t="s">
        <v>395</v>
      </c>
      <c r="E18" s="36" t="s">
        <v>373</v>
      </c>
      <c r="F18" s="45" t="s">
        <v>417</v>
      </c>
      <c r="G18" s="92"/>
      <c r="H18" s="50" t="s">
        <v>434</v>
      </c>
      <c r="I18" s="93" t="s">
        <v>408</v>
      </c>
      <c r="J18" s="92" t="s">
        <v>39</v>
      </c>
      <c r="K18" s="41" t="s">
        <v>31</v>
      </c>
      <c r="L18" s="45" t="s">
        <v>131</v>
      </c>
      <c r="M18" s="93" t="s">
        <v>409</v>
      </c>
    </row>
    <row r="19" spans="1:13" ht="57" x14ac:dyDescent="0.2">
      <c r="A19" s="36">
        <v>18</v>
      </c>
      <c r="B19" s="45" t="s">
        <v>394</v>
      </c>
      <c r="C19" s="45" t="s">
        <v>452</v>
      </c>
      <c r="D19" s="45" t="s">
        <v>395</v>
      </c>
      <c r="E19" s="36" t="s">
        <v>373</v>
      </c>
      <c r="F19" s="45" t="s">
        <v>417</v>
      </c>
      <c r="G19" s="92"/>
      <c r="H19" s="50" t="s">
        <v>435</v>
      </c>
      <c r="I19" s="93" t="s">
        <v>47</v>
      </c>
      <c r="J19" s="92" t="s">
        <v>39</v>
      </c>
      <c r="K19" s="41" t="s">
        <v>31</v>
      </c>
      <c r="L19" s="45" t="s">
        <v>131</v>
      </c>
      <c r="M19" s="93" t="s">
        <v>410</v>
      </c>
    </row>
    <row r="20" spans="1:13" ht="99.75" x14ac:dyDescent="0.2">
      <c r="A20" s="36">
        <v>19</v>
      </c>
      <c r="B20" s="45" t="s">
        <v>394</v>
      </c>
      <c r="C20" s="45" t="s">
        <v>452</v>
      </c>
      <c r="D20" s="45" t="s">
        <v>395</v>
      </c>
      <c r="E20" s="36" t="s">
        <v>373</v>
      </c>
      <c r="F20" s="45" t="s">
        <v>417</v>
      </c>
      <c r="G20" s="92"/>
      <c r="H20" s="50" t="s">
        <v>436</v>
      </c>
      <c r="I20" s="93" t="s">
        <v>121</v>
      </c>
      <c r="J20" s="92" t="s">
        <v>39</v>
      </c>
      <c r="K20" s="41" t="s">
        <v>31</v>
      </c>
      <c r="L20" s="45" t="s">
        <v>131</v>
      </c>
      <c r="M20" s="93" t="s">
        <v>122</v>
      </c>
    </row>
    <row r="21" spans="1:13" ht="28.5" x14ac:dyDescent="0.2">
      <c r="A21" s="36">
        <v>20</v>
      </c>
      <c r="B21" s="45" t="s">
        <v>394</v>
      </c>
      <c r="C21" s="45" t="s">
        <v>452</v>
      </c>
      <c r="D21" s="45" t="s">
        <v>395</v>
      </c>
      <c r="E21" s="36" t="s">
        <v>373</v>
      </c>
      <c r="F21" s="45" t="s">
        <v>417</v>
      </c>
      <c r="G21" s="92"/>
      <c r="H21" s="50" t="s">
        <v>437</v>
      </c>
      <c r="I21" s="93" t="s">
        <v>411</v>
      </c>
      <c r="J21" s="92" t="s">
        <v>39</v>
      </c>
      <c r="K21" s="41" t="s">
        <v>31</v>
      </c>
      <c r="L21" s="45" t="s">
        <v>131</v>
      </c>
      <c r="M21" s="93" t="s">
        <v>412</v>
      </c>
    </row>
    <row r="22" spans="1:13" ht="71.25" x14ac:dyDescent="0.2">
      <c r="A22" s="36">
        <v>21</v>
      </c>
      <c r="B22" s="45" t="s">
        <v>394</v>
      </c>
      <c r="C22" s="45" t="s">
        <v>452</v>
      </c>
      <c r="D22" s="45" t="s">
        <v>395</v>
      </c>
      <c r="E22" s="36" t="s">
        <v>373</v>
      </c>
      <c r="F22" s="45" t="s">
        <v>417</v>
      </c>
      <c r="G22" s="92"/>
      <c r="H22" s="50" t="s">
        <v>438</v>
      </c>
      <c r="I22" s="93" t="s">
        <v>413</v>
      </c>
      <c r="J22" s="92" t="s">
        <v>39</v>
      </c>
      <c r="K22" s="41" t="s">
        <v>31</v>
      </c>
      <c r="L22" s="45" t="s">
        <v>131</v>
      </c>
      <c r="M22" s="93" t="s">
        <v>414</v>
      </c>
    </row>
    <row r="23" spans="1:13" ht="28.5" x14ac:dyDescent="0.2">
      <c r="A23" s="36">
        <v>22</v>
      </c>
      <c r="B23" s="45" t="s">
        <v>394</v>
      </c>
      <c r="C23" s="45" t="s">
        <v>452</v>
      </c>
      <c r="D23" s="45" t="s">
        <v>395</v>
      </c>
      <c r="E23" s="36" t="s">
        <v>373</v>
      </c>
      <c r="F23" s="45" t="s">
        <v>417</v>
      </c>
      <c r="G23" s="92"/>
      <c r="H23" s="50" t="s">
        <v>439</v>
      </c>
      <c r="I23" s="93" t="s">
        <v>415</v>
      </c>
      <c r="J23" s="92" t="s">
        <v>39</v>
      </c>
      <c r="K23" s="41" t="s">
        <v>31</v>
      </c>
      <c r="L23" s="45" t="s">
        <v>131</v>
      </c>
      <c r="M23" s="92" t="s">
        <v>416</v>
      </c>
    </row>
    <row r="24" spans="1:13" s="23" customFormat="1" ht="38.25" x14ac:dyDescent="0.2">
      <c r="A24" s="20">
        <v>1</v>
      </c>
      <c r="B24" s="97" t="s">
        <v>394</v>
      </c>
      <c r="C24" s="45" t="s">
        <v>452</v>
      </c>
      <c r="D24" s="20" t="s">
        <v>312</v>
      </c>
      <c r="E24" s="20" t="s">
        <v>312</v>
      </c>
      <c r="F24" s="6" t="s">
        <v>313</v>
      </c>
      <c r="G24" s="54" t="s">
        <v>314</v>
      </c>
      <c r="H24" s="26" t="s">
        <v>172</v>
      </c>
      <c r="I24" s="89" t="s">
        <v>173</v>
      </c>
      <c r="J24" s="60" t="s">
        <v>30</v>
      </c>
      <c r="K24" s="30" t="s">
        <v>31</v>
      </c>
      <c r="L24" s="6" t="s">
        <v>174</v>
      </c>
      <c r="M24" s="98" t="s">
        <v>453</v>
      </c>
    </row>
    <row r="25" spans="1:13" s="23" customFormat="1" ht="89.25" x14ac:dyDescent="0.2">
      <c r="A25" s="20">
        <v>2</v>
      </c>
      <c r="B25" s="97" t="s">
        <v>394</v>
      </c>
      <c r="C25" s="45" t="s">
        <v>452</v>
      </c>
      <c r="D25" s="20" t="s">
        <v>312</v>
      </c>
      <c r="E25" s="20" t="s">
        <v>312</v>
      </c>
      <c r="F25" s="6" t="s">
        <v>313</v>
      </c>
      <c r="G25" s="54" t="s">
        <v>314</v>
      </c>
      <c r="H25" s="26" t="s">
        <v>175</v>
      </c>
      <c r="I25" s="89" t="s">
        <v>371</v>
      </c>
      <c r="J25" s="60" t="s">
        <v>30</v>
      </c>
      <c r="K25" s="30" t="s">
        <v>31</v>
      </c>
      <c r="L25" s="6" t="s">
        <v>174</v>
      </c>
      <c r="M25" s="98" t="s">
        <v>453</v>
      </c>
    </row>
    <row r="26" spans="1:13" s="23" customFormat="1" ht="51" x14ac:dyDescent="0.2">
      <c r="A26" s="20">
        <v>3</v>
      </c>
      <c r="B26" s="97" t="s">
        <v>394</v>
      </c>
      <c r="C26" s="45" t="s">
        <v>452</v>
      </c>
      <c r="D26" s="20" t="s">
        <v>312</v>
      </c>
      <c r="E26" s="20" t="s">
        <v>312</v>
      </c>
      <c r="F26" s="6" t="s">
        <v>313</v>
      </c>
      <c r="G26" s="54" t="s">
        <v>314</v>
      </c>
      <c r="H26" s="26" t="s">
        <v>177</v>
      </c>
      <c r="I26" s="89" t="s">
        <v>178</v>
      </c>
      <c r="J26" s="60" t="s">
        <v>30</v>
      </c>
      <c r="K26" s="30" t="s">
        <v>31</v>
      </c>
      <c r="L26" s="6" t="s">
        <v>174</v>
      </c>
      <c r="M26" s="98" t="s">
        <v>453</v>
      </c>
    </row>
    <row r="27" spans="1:13" s="23" customFormat="1" ht="51" x14ac:dyDescent="0.2">
      <c r="A27" s="20">
        <v>4</v>
      </c>
      <c r="B27" s="97" t="s">
        <v>394</v>
      </c>
      <c r="C27" s="45" t="s">
        <v>452</v>
      </c>
      <c r="D27" s="20" t="s">
        <v>312</v>
      </c>
      <c r="E27" s="20" t="s">
        <v>312</v>
      </c>
      <c r="F27" s="6" t="s">
        <v>313</v>
      </c>
      <c r="G27" s="54" t="s">
        <v>314</v>
      </c>
      <c r="H27" s="26" t="s">
        <v>27</v>
      </c>
      <c r="I27" s="89" t="s">
        <v>179</v>
      </c>
      <c r="J27" s="60" t="s">
        <v>30</v>
      </c>
      <c r="K27" s="30" t="s">
        <v>31</v>
      </c>
      <c r="L27" s="6" t="s">
        <v>174</v>
      </c>
      <c r="M27" s="98" t="s">
        <v>453</v>
      </c>
    </row>
    <row r="28" spans="1:13" s="23" customFormat="1" ht="76.5" x14ac:dyDescent="0.2">
      <c r="A28" s="20">
        <v>5</v>
      </c>
      <c r="B28" s="97" t="s">
        <v>394</v>
      </c>
      <c r="C28" s="45" t="s">
        <v>452</v>
      </c>
      <c r="D28" s="20" t="s">
        <v>312</v>
      </c>
      <c r="E28" s="20" t="s">
        <v>312</v>
      </c>
      <c r="F28" s="6" t="s">
        <v>313</v>
      </c>
      <c r="G28" s="54" t="s">
        <v>315</v>
      </c>
      <c r="H28" s="26" t="s">
        <v>180</v>
      </c>
      <c r="I28" s="89" t="s">
        <v>181</v>
      </c>
      <c r="J28" s="60" t="s">
        <v>30</v>
      </c>
      <c r="K28" s="30" t="s">
        <v>31</v>
      </c>
      <c r="L28" s="6" t="s">
        <v>174</v>
      </c>
      <c r="M28" s="98" t="s">
        <v>453</v>
      </c>
    </row>
    <row r="29" spans="1:13" s="23" customFormat="1" ht="38.25" x14ac:dyDescent="0.2">
      <c r="A29" s="20">
        <v>6</v>
      </c>
      <c r="B29" s="97" t="s">
        <v>394</v>
      </c>
      <c r="C29" s="45" t="s">
        <v>452</v>
      </c>
      <c r="D29" s="20" t="s">
        <v>312</v>
      </c>
      <c r="E29" s="20" t="s">
        <v>312</v>
      </c>
      <c r="F29" s="6" t="s">
        <v>313</v>
      </c>
      <c r="G29" s="54" t="s">
        <v>315</v>
      </c>
      <c r="H29" s="26" t="s">
        <v>182</v>
      </c>
      <c r="I29" s="89" t="s">
        <v>183</v>
      </c>
      <c r="J29" s="60" t="s">
        <v>30</v>
      </c>
      <c r="K29" s="30" t="s">
        <v>31</v>
      </c>
      <c r="L29" s="6" t="s">
        <v>174</v>
      </c>
      <c r="M29" s="98" t="s">
        <v>453</v>
      </c>
    </row>
    <row r="30" spans="1:13" s="23" customFormat="1" ht="38.25" x14ac:dyDescent="0.2">
      <c r="A30" s="20">
        <v>7</v>
      </c>
      <c r="B30" s="97" t="s">
        <v>394</v>
      </c>
      <c r="C30" s="45" t="s">
        <v>452</v>
      </c>
      <c r="D30" s="20" t="s">
        <v>312</v>
      </c>
      <c r="E30" s="20" t="s">
        <v>312</v>
      </c>
      <c r="F30" s="6" t="s">
        <v>313</v>
      </c>
      <c r="G30" s="54" t="s">
        <v>315</v>
      </c>
      <c r="H30" s="26" t="s">
        <v>184</v>
      </c>
      <c r="I30" s="89" t="s">
        <v>185</v>
      </c>
      <c r="J30" s="60" t="s">
        <v>30</v>
      </c>
      <c r="K30" s="30" t="s">
        <v>31</v>
      </c>
      <c r="L30" s="6" t="s">
        <v>174</v>
      </c>
      <c r="M30" s="98" t="s">
        <v>453</v>
      </c>
    </row>
    <row r="31" spans="1:13" s="23" customFormat="1" ht="38.25" x14ac:dyDescent="0.2">
      <c r="A31" s="20">
        <v>8</v>
      </c>
      <c r="B31" s="97" t="s">
        <v>394</v>
      </c>
      <c r="C31" s="45" t="s">
        <v>452</v>
      </c>
      <c r="D31" s="20" t="s">
        <v>312</v>
      </c>
      <c r="E31" s="20" t="s">
        <v>312</v>
      </c>
      <c r="F31" s="6" t="s">
        <v>313</v>
      </c>
      <c r="G31" s="54" t="s">
        <v>314</v>
      </c>
      <c r="H31" s="26" t="s">
        <v>186</v>
      </c>
      <c r="I31" s="89" t="s">
        <v>187</v>
      </c>
      <c r="J31" s="60" t="s">
        <v>30</v>
      </c>
      <c r="K31" s="30" t="s">
        <v>31</v>
      </c>
      <c r="L31" s="6" t="s">
        <v>174</v>
      </c>
      <c r="M31" s="98" t="s">
        <v>453</v>
      </c>
    </row>
    <row r="32" spans="1:13" s="23" customFormat="1" ht="38.25" x14ac:dyDescent="0.2">
      <c r="A32" s="20">
        <v>9</v>
      </c>
      <c r="B32" s="97" t="s">
        <v>394</v>
      </c>
      <c r="C32" s="45" t="s">
        <v>452</v>
      </c>
      <c r="D32" s="20" t="s">
        <v>312</v>
      </c>
      <c r="E32" s="20" t="s">
        <v>312</v>
      </c>
      <c r="F32" s="6" t="s">
        <v>313</v>
      </c>
      <c r="G32" s="54" t="s">
        <v>314</v>
      </c>
      <c r="H32" s="26" t="s">
        <v>188</v>
      </c>
      <c r="I32" s="89" t="s">
        <v>370</v>
      </c>
      <c r="J32" s="60" t="s">
        <v>30</v>
      </c>
      <c r="K32" s="30" t="s">
        <v>31</v>
      </c>
      <c r="L32" s="6" t="s">
        <v>174</v>
      </c>
      <c r="M32" s="98" t="s">
        <v>453</v>
      </c>
    </row>
    <row r="33" spans="1:13" s="23" customFormat="1" ht="38.25" x14ac:dyDescent="0.2">
      <c r="A33" s="20">
        <v>10</v>
      </c>
      <c r="B33" s="97" t="s">
        <v>394</v>
      </c>
      <c r="C33" s="45" t="s">
        <v>452</v>
      </c>
      <c r="D33" s="20" t="s">
        <v>312</v>
      </c>
      <c r="E33" s="20" t="s">
        <v>312</v>
      </c>
      <c r="F33" s="6" t="s">
        <v>313</v>
      </c>
      <c r="G33" s="54" t="s">
        <v>314</v>
      </c>
      <c r="H33" s="26" t="s">
        <v>190</v>
      </c>
      <c r="I33" s="89" t="s">
        <v>189</v>
      </c>
      <c r="J33" s="60" t="s">
        <v>30</v>
      </c>
      <c r="K33" s="30" t="s">
        <v>31</v>
      </c>
      <c r="L33" s="6" t="s">
        <v>174</v>
      </c>
      <c r="M33" s="98" t="s">
        <v>453</v>
      </c>
    </row>
    <row r="34" spans="1:13" s="23" customFormat="1" ht="38.25" x14ac:dyDescent="0.2">
      <c r="A34" s="20">
        <v>11</v>
      </c>
      <c r="B34" s="97" t="s">
        <v>394</v>
      </c>
      <c r="C34" s="45" t="s">
        <v>452</v>
      </c>
      <c r="D34" s="20" t="s">
        <v>312</v>
      </c>
      <c r="E34" s="20" t="s">
        <v>312</v>
      </c>
      <c r="F34" s="6" t="s">
        <v>313</v>
      </c>
      <c r="G34" s="54" t="s">
        <v>314</v>
      </c>
      <c r="H34" s="26" t="s">
        <v>192</v>
      </c>
      <c r="I34" s="90" t="s">
        <v>372</v>
      </c>
      <c r="J34" s="91" t="s">
        <v>196</v>
      </c>
      <c r="K34" s="30" t="s">
        <v>31</v>
      </c>
      <c r="L34" s="6" t="s">
        <v>174</v>
      </c>
      <c r="M34" s="98" t="s">
        <v>454</v>
      </c>
    </row>
    <row r="35" spans="1:13" s="23" customFormat="1" ht="38.25" x14ac:dyDescent="0.2">
      <c r="A35" s="20">
        <v>12</v>
      </c>
      <c r="B35" s="97" t="s">
        <v>394</v>
      </c>
      <c r="C35" s="45" t="s">
        <v>452</v>
      </c>
      <c r="D35" s="20" t="s">
        <v>312</v>
      </c>
      <c r="E35" s="20" t="s">
        <v>312</v>
      </c>
      <c r="F35" s="6" t="s">
        <v>313</v>
      </c>
      <c r="G35" s="54" t="s">
        <v>314</v>
      </c>
      <c r="H35" s="26" t="s">
        <v>194</v>
      </c>
      <c r="I35" s="13" t="s">
        <v>195</v>
      </c>
      <c r="J35" s="60" t="s">
        <v>196</v>
      </c>
      <c r="K35" s="30" t="s">
        <v>31</v>
      </c>
      <c r="L35" s="6" t="s">
        <v>174</v>
      </c>
      <c r="M35" s="98" t="s">
        <v>454</v>
      </c>
    </row>
    <row r="36" spans="1:13" s="23" customFormat="1" ht="76.5" x14ac:dyDescent="0.2">
      <c r="A36" s="20">
        <v>13</v>
      </c>
      <c r="B36" s="97" t="s">
        <v>394</v>
      </c>
      <c r="C36" s="45" t="s">
        <v>452</v>
      </c>
      <c r="D36" s="20" t="s">
        <v>312</v>
      </c>
      <c r="E36" s="20" t="s">
        <v>312</v>
      </c>
      <c r="F36" s="6" t="s">
        <v>313</v>
      </c>
      <c r="G36" s="54" t="s">
        <v>314</v>
      </c>
      <c r="H36" s="26" t="s">
        <v>197</v>
      </c>
      <c r="I36" s="13" t="s">
        <v>198</v>
      </c>
      <c r="J36" s="60" t="s">
        <v>196</v>
      </c>
      <c r="K36" s="30" t="s">
        <v>31</v>
      </c>
      <c r="L36" s="6" t="s">
        <v>174</v>
      </c>
      <c r="M36" s="98" t="s">
        <v>454</v>
      </c>
    </row>
    <row r="37" spans="1:13" s="23" customFormat="1" ht="76.5" x14ac:dyDescent="0.2">
      <c r="A37" s="20">
        <v>14</v>
      </c>
      <c r="B37" s="97" t="s">
        <v>394</v>
      </c>
      <c r="C37" s="45" t="s">
        <v>452</v>
      </c>
      <c r="D37" s="20" t="s">
        <v>312</v>
      </c>
      <c r="E37" s="20" t="s">
        <v>312</v>
      </c>
      <c r="F37" s="6" t="s">
        <v>313</v>
      </c>
      <c r="G37" s="54" t="s">
        <v>314</v>
      </c>
      <c r="H37" s="26" t="s">
        <v>199</v>
      </c>
      <c r="I37" s="13" t="s">
        <v>200</v>
      </c>
      <c r="J37" s="60" t="s">
        <v>196</v>
      </c>
      <c r="K37" s="30" t="s">
        <v>31</v>
      </c>
      <c r="L37" s="6" t="s">
        <v>174</v>
      </c>
      <c r="M37" s="98" t="s">
        <v>454</v>
      </c>
    </row>
    <row r="38" spans="1:13" s="23" customFormat="1" ht="38.25" x14ac:dyDescent="0.2">
      <c r="A38" s="20">
        <v>15</v>
      </c>
      <c r="B38" s="97" t="s">
        <v>394</v>
      </c>
      <c r="C38" s="45" t="s">
        <v>452</v>
      </c>
      <c r="D38" s="20" t="s">
        <v>312</v>
      </c>
      <c r="E38" s="20" t="s">
        <v>312</v>
      </c>
      <c r="F38" s="6" t="s">
        <v>313</v>
      </c>
      <c r="G38" s="54" t="s">
        <v>315</v>
      </c>
      <c r="H38" s="26" t="s">
        <v>201</v>
      </c>
      <c r="I38" s="13" t="s">
        <v>202</v>
      </c>
      <c r="J38" s="60" t="s">
        <v>196</v>
      </c>
      <c r="K38" s="30" t="s">
        <v>31</v>
      </c>
      <c r="L38" s="6" t="s">
        <v>174</v>
      </c>
      <c r="M38" s="98" t="s">
        <v>454</v>
      </c>
    </row>
    <row r="39" spans="1:13" s="23" customFormat="1" ht="63.75" x14ac:dyDescent="0.2">
      <c r="A39" s="20">
        <v>16</v>
      </c>
      <c r="B39" s="97" t="s">
        <v>394</v>
      </c>
      <c r="C39" s="45" t="s">
        <v>452</v>
      </c>
      <c r="D39" s="20" t="s">
        <v>312</v>
      </c>
      <c r="E39" s="20" t="s">
        <v>312</v>
      </c>
      <c r="F39" s="6" t="s">
        <v>313</v>
      </c>
      <c r="G39" s="54" t="s">
        <v>315</v>
      </c>
      <c r="H39" s="26" t="s">
        <v>203</v>
      </c>
      <c r="I39" s="13" t="s">
        <v>204</v>
      </c>
      <c r="J39" s="60" t="s">
        <v>196</v>
      </c>
      <c r="K39" s="30" t="s">
        <v>31</v>
      </c>
      <c r="L39" s="6" t="s">
        <v>174</v>
      </c>
      <c r="M39" s="98" t="s">
        <v>454</v>
      </c>
    </row>
    <row r="40" spans="1:13" s="23" customFormat="1" ht="51" x14ac:dyDescent="0.2">
      <c r="A40" s="20">
        <v>17</v>
      </c>
      <c r="B40" s="97" t="s">
        <v>394</v>
      </c>
      <c r="C40" s="45" t="s">
        <v>452</v>
      </c>
      <c r="D40" s="20" t="s">
        <v>312</v>
      </c>
      <c r="E40" s="20" t="s">
        <v>312</v>
      </c>
      <c r="F40" s="6" t="s">
        <v>313</v>
      </c>
      <c r="G40" s="54" t="s">
        <v>314</v>
      </c>
      <c r="H40" s="26" t="s">
        <v>205</v>
      </c>
      <c r="I40" s="13" t="s">
        <v>206</v>
      </c>
      <c r="J40" s="60" t="s">
        <v>196</v>
      </c>
      <c r="K40" s="30" t="s">
        <v>31</v>
      </c>
      <c r="L40" s="6" t="s">
        <v>174</v>
      </c>
      <c r="M40" s="98" t="s">
        <v>454</v>
      </c>
    </row>
    <row r="41" spans="1:13" s="23" customFormat="1" ht="63.75" x14ac:dyDescent="0.2">
      <c r="A41" s="20">
        <v>18</v>
      </c>
      <c r="B41" s="97" t="s">
        <v>394</v>
      </c>
      <c r="C41" s="45" t="s">
        <v>452</v>
      </c>
      <c r="D41" s="20" t="s">
        <v>312</v>
      </c>
      <c r="E41" s="20" t="s">
        <v>312</v>
      </c>
      <c r="F41" s="6" t="s">
        <v>313</v>
      </c>
      <c r="G41" s="54" t="s">
        <v>314</v>
      </c>
      <c r="H41" s="26" t="s">
        <v>207</v>
      </c>
      <c r="I41" s="13" t="s">
        <v>208</v>
      </c>
      <c r="J41" s="60" t="s">
        <v>196</v>
      </c>
      <c r="K41" s="30" t="s">
        <v>31</v>
      </c>
      <c r="L41" s="6" t="s">
        <v>174</v>
      </c>
      <c r="M41" s="98" t="s">
        <v>454</v>
      </c>
    </row>
    <row r="42" spans="1:13" s="23" customFormat="1" ht="140.25" x14ac:dyDescent="0.2">
      <c r="A42" s="20">
        <v>19</v>
      </c>
      <c r="B42" s="97" t="s">
        <v>394</v>
      </c>
      <c r="C42" s="45" t="s">
        <v>452</v>
      </c>
      <c r="D42" s="20" t="s">
        <v>312</v>
      </c>
      <c r="E42" s="20" t="s">
        <v>312</v>
      </c>
      <c r="F42" s="6" t="s">
        <v>313</v>
      </c>
      <c r="G42" s="26" t="s">
        <v>314</v>
      </c>
      <c r="H42" s="26" t="s">
        <v>209</v>
      </c>
      <c r="I42" s="13" t="s">
        <v>210</v>
      </c>
      <c r="J42" s="60" t="s">
        <v>196</v>
      </c>
      <c r="K42" s="30" t="s">
        <v>31</v>
      </c>
      <c r="L42" s="6" t="s">
        <v>174</v>
      </c>
      <c r="M42" s="98" t="s">
        <v>454</v>
      </c>
    </row>
    <row r="43" spans="1:13" s="23" customFormat="1" ht="38.25" x14ac:dyDescent="0.2">
      <c r="A43" s="20">
        <v>20</v>
      </c>
      <c r="B43" s="97" t="s">
        <v>394</v>
      </c>
      <c r="C43" s="45" t="s">
        <v>452</v>
      </c>
      <c r="D43" s="20" t="s">
        <v>312</v>
      </c>
      <c r="E43" s="20" t="s">
        <v>312</v>
      </c>
      <c r="F43" s="6" t="s">
        <v>313</v>
      </c>
      <c r="G43" s="54" t="s">
        <v>314</v>
      </c>
      <c r="H43" s="26" t="s">
        <v>211</v>
      </c>
      <c r="I43" s="13" t="s">
        <v>212</v>
      </c>
      <c r="J43" s="60" t="s">
        <v>196</v>
      </c>
      <c r="K43" s="30" t="s">
        <v>31</v>
      </c>
      <c r="L43" s="6" t="s">
        <v>174</v>
      </c>
      <c r="M43" s="98" t="s">
        <v>454</v>
      </c>
    </row>
    <row r="44" spans="1:13" s="23" customFormat="1" ht="63.75" x14ac:dyDescent="0.2">
      <c r="A44" s="20">
        <v>21</v>
      </c>
      <c r="B44" s="97" t="s">
        <v>394</v>
      </c>
      <c r="C44" s="45" t="s">
        <v>452</v>
      </c>
      <c r="D44" s="20" t="s">
        <v>312</v>
      </c>
      <c r="E44" s="20" t="s">
        <v>312</v>
      </c>
      <c r="F44" s="6" t="s">
        <v>313</v>
      </c>
      <c r="G44" s="54" t="s">
        <v>315</v>
      </c>
      <c r="H44" s="26" t="s">
        <v>213</v>
      </c>
      <c r="I44" s="13" t="s">
        <v>214</v>
      </c>
      <c r="J44" s="60" t="s">
        <v>196</v>
      </c>
      <c r="K44" s="30" t="s">
        <v>31</v>
      </c>
      <c r="L44" s="6" t="s">
        <v>174</v>
      </c>
      <c r="M44" s="98" t="s">
        <v>454</v>
      </c>
    </row>
    <row r="45" spans="1:13" s="23" customFormat="1" ht="51" x14ac:dyDescent="0.2">
      <c r="A45" s="20">
        <v>22</v>
      </c>
      <c r="B45" s="97" t="s">
        <v>394</v>
      </c>
      <c r="C45" s="45" t="s">
        <v>452</v>
      </c>
      <c r="D45" s="20" t="s">
        <v>312</v>
      </c>
      <c r="E45" s="20" t="s">
        <v>312</v>
      </c>
      <c r="F45" s="6" t="s">
        <v>313</v>
      </c>
      <c r="G45" s="54" t="s">
        <v>315</v>
      </c>
      <c r="H45" s="26" t="s">
        <v>215</v>
      </c>
      <c r="I45" s="13" t="s">
        <v>216</v>
      </c>
      <c r="J45" s="60" t="s">
        <v>196</v>
      </c>
      <c r="K45" s="30" t="s">
        <v>31</v>
      </c>
      <c r="L45" s="6" t="s">
        <v>174</v>
      </c>
      <c r="M45" s="98" t="s">
        <v>454</v>
      </c>
    </row>
    <row r="46" spans="1:13" s="23" customFormat="1" ht="38.25" x14ac:dyDescent="0.2">
      <c r="A46" s="20">
        <v>23</v>
      </c>
      <c r="B46" s="97" t="s">
        <v>394</v>
      </c>
      <c r="C46" s="45" t="s">
        <v>452</v>
      </c>
      <c r="D46" s="20" t="s">
        <v>312</v>
      </c>
      <c r="E46" s="20" t="s">
        <v>312</v>
      </c>
      <c r="F46" s="6" t="s">
        <v>313</v>
      </c>
      <c r="G46" s="54" t="s">
        <v>314</v>
      </c>
      <c r="H46" s="26" t="s">
        <v>217</v>
      </c>
      <c r="I46" s="13" t="s">
        <v>218</v>
      </c>
      <c r="J46" s="60" t="s">
        <v>196</v>
      </c>
      <c r="K46" s="30" t="s">
        <v>31</v>
      </c>
      <c r="L46" s="6" t="s">
        <v>174</v>
      </c>
      <c r="M46" s="98" t="s">
        <v>454</v>
      </c>
    </row>
    <row r="47" spans="1:13" s="23" customFormat="1" ht="38.25" x14ac:dyDescent="0.2">
      <c r="A47" s="20">
        <v>24</v>
      </c>
      <c r="B47" s="97" t="s">
        <v>394</v>
      </c>
      <c r="C47" s="45" t="s">
        <v>452</v>
      </c>
      <c r="D47" s="20" t="s">
        <v>312</v>
      </c>
      <c r="E47" s="20" t="s">
        <v>312</v>
      </c>
      <c r="F47" s="6" t="s">
        <v>313</v>
      </c>
      <c r="G47" s="54" t="s">
        <v>315</v>
      </c>
      <c r="H47" s="26" t="s">
        <v>219</v>
      </c>
      <c r="I47" s="13" t="s">
        <v>220</v>
      </c>
      <c r="J47" s="60" t="s">
        <v>196</v>
      </c>
      <c r="K47" s="30" t="s">
        <v>31</v>
      </c>
      <c r="L47" s="6" t="s">
        <v>174</v>
      </c>
      <c r="M47" s="98" t="s">
        <v>454</v>
      </c>
    </row>
    <row r="48" spans="1:13" s="23" customFormat="1" ht="38.25" x14ac:dyDescent="0.2">
      <c r="A48" s="20">
        <v>25</v>
      </c>
      <c r="B48" s="97" t="s">
        <v>394</v>
      </c>
      <c r="C48" s="45" t="s">
        <v>452</v>
      </c>
      <c r="D48" s="20" t="s">
        <v>312</v>
      </c>
      <c r="E48" s="20" t="s">
        <v>312</v>
      </c>
      <c r="F48" s="6" t="s">
        <v>313</v>
      </c>
      <c r="G48" s="54" t="s">
        <v>315</v>
      </c>
      <c r="H48" s="26" t="s">
        <v>221</v>
      </c>
      <c r="I48" s="13" t="s">
        <v>222</v>
      </c>
      <c r="J48" s="60" t="s">
        <v>196</v>
      </c>
      <c r="K48" s="30" t="s">
        <v>31</v>
      </c>
      <c r="L48" s="6" t="s">
        <v>174</v>
      </c>
      <c r="M48" s="98" t="s">
        <v>454</v>
      </c>
    </row>
    <row r="49" spans="1:13" s="23" customFormat="1" ht="38.25" x14ac:dyDescent="0.2">
      <c r="A49" s="20">
        <v>26</v>
      </c>
      <c r="B49" s="97" t="s">
        <v>394</v>
      </c>
      <c r="C49" s="45" t="s">
        <v>452</v>
      </c>
      <c r="D49" s="20" t="s">
        <v>312</v>
      </c>
      <c r="E49" s="20" t="s">
        <v>312</v>
      </c>
      <c r="F49" s="6" t="s">
        <v>313</v>
      </c>
      <c r="G49" s="54" t="s">
        <v>314</v>
      </c>
      <c r="H49" s="26" t="s">
        <v>223</v>
      </c>
      <c r="I49" s="13" t="s">
        <v>224</v>
      </c>
      <c r="J49" s="60" t="s">
        <v>225</v>
      </c>
      <c r="K49" s="30" t="s">
        <v>31</v>
      </c>
      <c r="L49" s="6" t="s">
        <v>174</v>
      </c>
      <c r="M49" s="99" t="s">
        <v>455</v>
      </c>
    </row>
    <row r="50" spans="1:13" s="23" customFormat="1" ht="63.75" x14ac:dyDescent="0.2">
      <c r="A50" s="20">
        <v>27</v>
      </c>
      <c r="B50" s="97" t="s">
        <v>394</v>
      </c>
      <c r="C50" s="45" t="s">
        <v>452</v>
      </c>
      <c r="D50" s="20" t="s">
        <v>312</v>
      </c>
      <c r="E50" s="20" t="s">
        <v>312</v>
      </c>
      <c r="F50" s="6" t="s">
        <v>313</v>
      </c>
      <c r="G50" s="54" t="s">
        <v>315</v>
      </c>
      <c r="H50" s="26" t="s">
        <v>226</v>
      </c>
      <c r="I50" s="13" t="s">
        <v>227</v>
      </c>
      <c r="J50" s="60" t="s">
        <v>225</v>
      </c>
      <c r="K50" s="30" t="s">
        <v>31</v>
      </c>
      <c r="L50" s="6" t="s">
        <v>174</v>
      </c>
      <c r="M50" s="99" t="s">
        <v>455</v>
      </c>
    </row>
    <row r="51" spans="1:13" s="23" customFormat="1" ht="51" x14ac:dyDescent="0.2">
      <c r="A51" s="20">
        <v>28</v>
      </c>
      <c r="B51" s="97" t="s">
        <v>394</v>
      </c>
      <c r="C51" s="45" t="s">
        <v>452</v>
      </c>
      <c r="D51" s="20" t="s">
        <v>312</v>
      </c>
      <c r="E51" s="20" t="s">
        <v>312</v>
      </c>
      <c r="F51" s="6" t="s">
        <v>313</v>
      </c>
      <c r="G51" s="54" t="s">
        <v>315</v>
      </c>
      <c r="H51" s="26" t="s">
        <v>228</v>
      </c>
      <c r="I51" s="13" t="s">
        <v>229</v>
      </c>
      <c r="J51" s="60" t="s">
        <v>225</v>
      </c>
      <c r="K51" s="30" t="s">
        <v>31</v>
      </c>
      <c r="L51" s="6" t="s">
        <v>174</v>
      </c>
      <c r="M51" s="99" t="s">
        <v>455</v>
      </c>
    </row>
  </sheetData>
  <autoFilter ref="A1:M7" xr:uid="{ECB11274-3BE1-42BD-B285-3113B95FFD53}"/>
  <phoneticPr fontId="10"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4296C-2CE2-40A8-AF14-0A3EF2372A9C}">
  <dimension ref="A1:L30"/>
  <sheetViews>
    <sheetView zoomScale="70" zoomScaleNormal="70" workbookViewId="0">
      <pane ySplit="2" topLeftCell="A23" activePane="bottomLeft" state="frozen"/>
      <selection pane="bottomLeft" activeCell="A3" sqref="A3:XFD30"/>
    </sheetView>
  </sheetViews>
  <sheetFormatPr baseColWidth="10" defaultColWidth="11.42578125" defaultRowHeight="12.75" x14ac:dyDescent="0.2"/>
  <cols>
    <col min="1" max="1" width="11.42578125" style="22"/>
    <col min="2" max="4" width="19.140625" style="23" customWidth="1"/>
    <col min="5" max="5" width="19.28515625" style="22" customWidth="1"/>
    <col min="6" max="6" width="23.140625" style="23" customWidth="1"/>
    <col min="7" max="7" width="25.140625" style="23" customWidth="1"/>
    <col min="8" max="8" width="66.42578125" style="23" customWidth="1"/>
    <col min="9" max="9" width="14.28515625" style="55" customWidth="1"/>
    <col min="10" max="10" width="21.7109375" style="23" customWidth="1"/>
    <col min="11" max="11" width="18.85546875" style="23" customWidth="1"/>
    <col min="12" max="12" width="13.85546875" style="23" customWidth="1"/>
    <col min="13" max="16384" width="11.42578125" style="23"/>
  </cols>
  <sheetData>
    <row r="1" spans="1:12" ht="13.5" thickBot="1" x14ac:dyDescent="0.25">
      <c r="A1" s="52" t="s">
        <v>303</v>
      </c>
      <c r="B1" s="51"/>
      <c r="C1" s="21"/>
      <c r="D1" s="21"/>
      <c r="E1" s="21"/>
      <c r="F1" s="21"/>
      <c r="G1" s="21"/>
    </row>
    <row r="2" spans="1:12" s="53" customFormat="1" ht="25.5" x14ac:dyDescent="0.2">
      <c r="A2" s="27" t="s">
        <v>304</v>
      </c>
      <c r="B2" s="28" t="s">
        <v>305</v>
      </c>
      <c r="C2" s="28" t="s">
        <v>306</v>
      </c>
      <c r="D2" s="28" t="s">
        <v>307</v>
      </c>
      <c r="E2" s="28" t="s">
        <v>308</v>
      </c>
      <c r="F2" s="28" t="s">
        <v>309</v>
      </c>
      <c r="G2" s="28" t="s">
        <v>4</v>
      </c>
      <c r="H2" s="29" t="s">
        <v>5</v>
      </c>
      <c r="I2" s="29" t="s">
        <v>6</v>
      </c>
      <c r="J2" s="29" t="s">
        <v>7</v>
      </c>
      <c r="K2" s="29" t="s">
        <v>8</v>
      </c>
      <c r="L2" s="31" t="s">
        <v>9</v>
      </c>
    </row>
    <row r="3" spans="1:12" ht="38.25" x14ac:dyDescent="0.2">
      <c r="A3" s="20">
        <v>1</v>
      </c>
      <c r="B3" s="20" t="s">
        <v>312</v>
      </c>
      <c r="C3" s="20" t="s">
        <v>312</v>
      </c>
      <c r="D3" s="20" t="s">
        <v>312</v>
      </c>
      <c r="E3" s="6" t="s">
        <v>313</v>
      </c>
      <c r="F3" s="54" t="s">
        <v>314</v>
      </c>
      <c r="G3" s="26" t="s">
        <v>172</v>
      </c>
      <c r="H3" s="89" t="s">
        <v>173</v>
      </c>
      <c r="I3" s="60" t="s">
        <v>30</v>
      </c>
      <c r="J3" s="30" t="s">
        <v>31</v>
      </c>
      <c r="K3" s="6" t="s">
        <v>174</v>
      </c>
      <c r="L3" s="57">
        <v>0.15</v>
      </c>
    </row>
    <row r="4" spans="1:12" ht="51" x14ac:dyDescent="0.2">
      <c r="A4" s="20">
        <v>2</v>
      </c>
      <c r="B4" s="20" t="s">
        <v>312</v>
      </c>
      <c r="C4" s="20" t="s">
        <v>312</v>
      </c>
      <c r="D4" s="20" t="s">
        <v>312</v>
      </c>
      <c r="E4" s="6" t="s">
        <v>313</v>
      </c>
      <c r="F4" s="54" t="s">
        <v>314</v>
      </c>
      <c r="G4" s="26" t="s">
        <v>175</v>
      </c>
      <c r="H4" s="89" t="s">
        <v>371</v>
      </c>
      <c r="I4" s="60" t="s">
        <v>30</v>
      </c>
      <c r="J4" s="30" t="s">
        <v>31</v>
      </c>
      <c r="K4" s="6" t="s">
        <v>174</v>
      </c>
      <c r="L4" s="57">
        <v>0.15</v>
      </c>
    </row>
    <row r="5" spans="1:12" ht="38.25" x14ac:dyDescent="0.2">
      <c r="A5" s="20">
        <v>3</v>
      </c>
      <c r="B5" s="20" t="s">
        <v>312</v>
      </c>
      <c r="C5" s="20" t="s">
        <v>312</v>
      </c>
      <c r="D5" s="20" t="s">
        <v>312</v>
      </c>
      <c r="E5" s="6" t="s">
        <v>313</v>
      </c>
      <c r="F5" s="54" t="s">
        <v>314</v>
      </c>
      <c r="G5" s="26" t="s">
        <v>177</v>
      </c>
      <c r="H5" s="89" t="s">
        <v>178</v>
      </c>
      <c r="I5" s="60" t="s">
        <v>30</v>
      </c>
      <c r="J5" s="30" t="s">
        <v>31</v>
      </c>
      <c r="K5" s="6" t="s">
        <v>174</v>
      </c>
      <c r="L5" s="57">
        <v>0.15</v>
      </c>
    </row>
    <row r="6" spans="1:12" ht="38.25" x14ac:dyDescent="0.2">
      <c r="A6" s="20">
        <v>4</v>
      </c>
      <c r="B6" s="20" t="s">
        <v>312</v>
      </c>
      <c r="C6" s="20" t="s">
        <v>312</v>
      </c>
      <c r="D6" s="20" t="s">
        <v>312</v>
      </c>
      <c r="E6" s="6" t="s">
        <v>313</v>
      </c>
      <c r="F6" s="54" t="s">
        <v>314</v>
      </c>
      <c r="G6" s="26" t="s">
        <v>27</v>
      </c>
      <c r="H6" s="89" t="s">
        <v>179</v>
      </c>
      <c r="I6" s="60" t="s">
        <v>30</v>
      </c>
      <c r="J6" s="30" t="s">
        <v>31</v>
      </c>
      <c r="K6" s="6" t="s">
        <v>174</v>
      </c>
      <c r="L6" s="57">
        <v>0.15</v>
      </c>
    </row>
    <row r="7" spans="1:12" ht="51" x14ac:dyDescent="0.2">
      <c r="A7" s="20">
        <v>5</v>
      </c>
      <c r="B7" s="20" t="s">
        <v>312</v>
      </c>
      <c r="C7" s="20" t="s">
        <v>312</v>
      </c>
      <c r="D7" s="20" t="s">
        <v>312</v>
      </c>
      <c r="E7" s="6" t="s">
        <v>313</v>
      </c>
      <c r="F7" s="54" t="s">
        <v>315</v>
      </c>
      <c r="G7" s="26" t="s">
        <v>180</v>
      </c>
      <c r="H7" s="89" t="s">
        <v>181</v>
      </c>
      <c r="I7" s="60" t="s">
        <v>30</v>
      </c>
      <c r="J7" s="30" t="s">
        <v>31</v>
      </c>
      <c r="K7" s="6" t="s">
        <v>174</v>
      </c>
      <c r="L7" s="57">
        <v>0.15</v>
      </c>
    </row>
    <row r="8" spans="1:12" ht="38.25" x14ac:dyDescent="0.2">
      <c r="A8" s="20">
        <v>6</v>
      </c>
      <c r="B8" s="20" t="s">
        <v>312</v>
      </c>
      <c r="C8" s="20" t="s">
        <v>312</v>
      </c>
      <c r="D8" s="20" t="s">
        <v>312</v>
      </c>
      <c r="E8" s="6" t="s">
        <v>313</v>
      </c>
      <c r="F8" s="54" t="s">
        <v>315</v>
      </c>
      <c r="G8" s="26" t="s">
        <v>182</v>
      </c>
      <c r="H8" s="89" t="s">
        <v>183</v>
      </c>
      <c r="I8" s="60" t="s">
        <v>30</v>
      </c>
      <c r="J8" s="30" t="s">
        <v>31</v>
      </c>
      <c r="K8" s="6" t="s">
        <v>174</v>
      </c>
      <c r="L8" s="57">
        <v>0.15</v>
      </c>
    </row>
    <row r="9" spans="1:12" ht="38.25" x14ac:dyDescent="0.2">
      <c r="A9" s="20">
        <v>7</v>
      </c>
      <c r="B9" s="20" t="s">
        <v>312</v>
      </c>
      <c r="C9" s="20" t="s">
        <v>312</v>
      </c>
      <c r="D9" s="20" t="s">
        <v>312</v>
      </c>
      <c r="E9" s="6" t="s">
        <v>313</v>
      </c>
      <c r="F9" s="54" t="s">
        <v>315</v>
      </c>
      <c r="G9" s="26" t="s">
        <v>184</v>
      </c>
      <c r="H9" s="89" t="s">
        <v>185</v>
      </c>
      <c r="I9" s="60" t="s">
        <v>30</v>
      </c>
      <c r="J9" s="30" t="s">
        <v>31</v>
      </c>
      <c r="K9" s="6" t="s">
        <v>174</v>
      </c>
      <c r="L9" s="57">
        <v>0.15</v>
      </c>
    </row>
    <row r="10" spans="1:12" ht="38.25" x14ac:dyDescent="0.2">
      <c r="A10" s="20">
        <v>8</v>
      </c>
      <c r="B10" s="20" t="s">
        <v>312</v>
      </c>
      <c r="C10" s="20" t="s">
        <v>312</v>
      </c>
      <c r="D10" s="20" t="s">
        <v>312</v>
      </c>
      <c r="E10" s="6" t="s">
        <v>313</v>
      </c>
      <c r="F10" s="54" t="s">
        <v>314</v>
      </c>
      <c r="G10" s="26" t="s">
        <v>186</v>
      </c>
      <c r="H10" s="89" t="s">
        <v>187</v>
      </c>
      <c r="I10" s="60" t="s">
        <v>30</v>
      </c>
      <c r="J10" s="30" t="s">
        <v>31</v>
      </c>
      <c r="K10" s="6" t="s">
        <v>174</v>
      </c>
      <c r="L10" s="57">
        <v>0.15</v>
      </c>
    </row>
    <row r="11" spans="1:12" ht="38.25" x14ac:dyDescent="0.2">
      <c r="A11" s="20">
        <v>9</v>
      </c>
      <c r="B11" s="20" t="s">
        <v>312</v>
      </c>
      <c r="C11" s="20" t="s">
        <v>312</v>
      </c>
      <c r="D11" s="20" t="s">
        <v>312</v>
      </c>
      <c r="E11" s="6" t="s">
        <v>313</v>
      </c>
      <c r="F11" s="54" t="s">
        <v>314</v>
      </c>
      <c r="G11" s="26" t="s">
        <v>188</v>
      </c>
      <c r="H11" s="89" t="s">
        <v>370</v>
      </c>
      <c r="I11" s="60" t="s">
        <v>30</v>
      </c>
      <c r="J11" s="30" t="s">
        <v>31</v>
      </c>
      <c r="K11" s="6" t="s">
        <v>174</v>
      </c>
      <c r="L11" s="57">
        <v>0.15</v>
      </c>
    </row>
    <row r="12" spans="1:12" ht="38.25" x14ac:dyDescent="0.2">
      <c r="A12" s="20">
        <v>10</v>
      </c>
      <c r="B12" s="20" t="s">
        <v>312</v>
      </c>
      <c r="C12" s="20" t="s">
        <v>312</v>
      </c>
      <c r="D12" s="20" t="s">
        <v>312</v>
      </c>
      <c r="E12" s="6" t="s">
        <v>313</v>
      </c>
      <c r="F12" s="54" t="s">
        <v>314</v>
      </c>
      <c r="G12" s="26" t="s">
        <v>190</v>
      </c>
      <c r="H12" s="89" t="s">
        <v>189</v>
      </c>
      <c r="I12" s="60" t="s">
        <v>30</v>
      </c>
      <c r="J12" s="30" t="s">
        <v>31</v>
      </c>
      <c r="K12" s="6" t="s">
        <v>174</v>
      </c>
      <c r="L12" s="57">
        <v>0.15</v>
      </c>
    </row>
    <row r="13" spans="1:12" ht="38.25" x14ac:dyDescent="0.2">
      <c r="A13" s="20">
        <v>11</v>
      </c>
      <c r="B13" s="20" t="s">
        <v>312</v>
      </c>
      <c r="C13" s="20" t="s">
        <v>312</v>
      </c>
      <c r="D13" s="20" t="s">
        <v>312</v>
      </c>
      <c r="E13" s="6" t="s">
        <v>313</v>
      </c>
      <c r="F13" s="54" t="s">
        <v>314</v>
      </c>
      <c r="G13" s="26" t="s">
        <v>192</v>
      </c>
      <c r="H13" s="90" t="s">
        <v>372</v>
      </c>
      <c r="I13" s="91" t="s">
        <v>196</v>
      </c>
      <c r="J13" s="30" t="s">
        <v>31</v>
      </c>
      <c r="K13" s="6" t="s">
        <v>174</v>
      </c>
      <c r="L13" s="57">
        <v>0.1</v>
      </c>
    </row>
    <row r="14" spans="1:12" ht="38.25" x14ac:dyDescent="0.2">
      <c r="A14" s="20">
        <v>12</v>
      </c>
      <c r="B14" s="20" t="s">
        <v>312</v>
      </c>
      <c r="C14" s="20" t="s">
        <v>312</v>
      </c>
      <c r="D14" s="20" t="s">
        <v>312</v>
      </c>
      <c r="E14" s="6" t="s">
        <v>313</v>
      </c>
      <c r="F14" s="54" t="s">
        <v>314</v>
      </c>
      <c r="G14" s="26" t="s">
        <v>194</v>
      </c>
      <c r="H14" s="13" t="s">
        <v>195</v>
      </c>
      <c r="I14" s="60" t="s">
        <v>196</v>
      </c>
      <c r="J14" s="30" t="s">
        <v>31</v>
      </c>
      <c r="K14" s="6" t="s">
        <v>174</v>
      </c>
      <c r="L14" s="57">
        <v>0.1</v>
      </c>
    </row>
    <row r="15" spans="1:12" ht="51" x14ac:dyDescent="0.2">
      <c r="A15" s="20">
        <v>13</v>
      </c>
      <c r="B15" s="20" t="s">
        <v>312</v>
      </c>
      <c r="C15" s="20" t="s">
        <v>312</v>
      </c>
      <c r="D15" s="20" t="s">
        <v>312</v>
      </c>
      <c r="E15" s="6" t="s">
        <v>313</v>
      </c>
      <c r="F15" s="54" t="s">
        <v>314</v>
      </c>
      <c r="G15" s="26" t="s">
        <v>197</v>
      </c>
      <c r="H15" s="13" t="s">
        <v>198</v>
      </c>
      <c r="I15" s="60" t="s">
        <v>196</v>
      </c>
      <c r="J15" s="30" t="s">
        <v>31</v>
      </c>
      <c r="K15" s="6" t="s">
        <v>174</v>
      </c>
      <c r="L15" s="57">
        <v>0.1</v>
      </c>
    </row>
    <row r="16" spans="1:12" ht="51" x14ac:dyDescent="0.2">
      <c r="A16" s="20">
        <v>14</v>
      </c>
      <c r="B16" s="20" t="s">
        <v>312</v>
      </c>
      <c r="C16" s="20" t="s">
        <v>312</v>
      </c>
      <c r="D16" s="20" t="s">
        <v>312</v>
      </c>
      <c r="E16" s="6" t="s">
        <v>313</v>
      </c>
      <c r="F16" s="54" t="s">
        <v>314</v>
      </c>
      <c r="G16" s="26" t="s">
        <v>199</v>
      </c>
      <c r="H16" s="13" t="s">
        <v>200</v>
      </c>
      <c r="I16" s="60" t="s">
        <v>196</v>
      </c>
      <c r="J16" s="30" t="s">
        <v>31</v>
      </c>
      <c r="K16" s="6" t="s">
        <v>174</v>
      </c>
      <c r="L16" s="57">
        <v>0.1</v>
      </c>
    </row>
    <row r="17" spans="1:12" ht="38.25" x14ac:dyDescent="0.2">
      <c r="A17" s="20">
        <v>15</v>
      </c>
      <c r="B17" s="20" t="s">
        <v>312</v>
      </c>
      <c r="C17" s="20" t="s">
        <v>312</v>
      </c>
      <c r="D17" s="20" t="s">
        <v>312</v>
      </c>
      <c r="E17" s="6" t="s">
        <v>313</v>
      </c>
      <c r="F17" s="54" t="s">
        <v>315</v>
      </c>
      <c r="G17" s="26" t="s">
        <v>201</v>
      </c>
      <c r="H17" s="13" t="s">
        <v>202</v>
      </c>
      <c r="I17" s="60" t="s">
        <v>196</v>
      </c>
      <c r="J17" s="30" t="s">
        <v>31</v>
      </c>
      <c r="K17" s="6" t="s">
        <v>174</v>
      </c>
      <c r="L17" s="57">
        <v>0.1</v>
      </c>
    </row>
    <row r="18" spans="1:12" ht="51" x14ac:dyDescent="0.2">
      <c r="A18" s="20">
        <v>16</v>
      </c>
      <c r="B18" s="20" t="s">
        <v>312</v>
      </c>
      <c r="C18" s="20" t="s">
        <v>312</v>
      </c>
      <c r="D18" s="20" t="s">
        <v>312</v>
      </c>
      <c r="E18" s="6" t="s">
        <v>313</v>
      </c>
      <c r="F18" s="54" t="s">
        <v>315</v>
      </c>
      <c r="G18" s="26" t="s">
        <v>203</v>
      </c>
      <c r="H18" s="13" t="s">
        <v>204</v>
      </c>
      <c r="I18" s="60" t="s">
        <v>196</v>
      </c>
      <c r="J18" s="30" t="s">
        <v>31</v>
      </c>
      <c r="K18" s="6" t="s">
        <v>174</v>
      </c>
      <c r="L18" s="57">
        <v>0.1</v>
      </c>
    </row>
    <row r="19" spans="1:12" ht="38.25" x14ac:dyDescent="0.2">
      <c r="A19" s="20">
        <v>17</v>
      </c>
      <c r="B19" s="20" t="s">
        <v>312</v>
      </c>
      <c r="C19" s="20" t="s">
        <v>312</v>
      </c>
      <c r="D19" s="20" t="s">
        <v>312</v>
      </c>
      <c r="E19" s="6" t="s">
        <v>313</v>
      </c>
      <c r="F19" s="54" t="s">
        <v>314</v>
      </c>
      <c r="G19" s="26" t="s">
        <v>205</v>
      </c>
      <c r="H19" s="13" t="s">
        <v>206</v>
      </c>
      <c r="I19" s="60" t="s">
        <v>196</v>
      </c>
      <c r="J19" s="30" t="s">
        <v>31</v>
      </c>
      <c r="K19" s="6" t="s">
        <v>174</v>
      </c>
      <c r="L19" s="57">
        <v>0.1</v>
      </c>
    </row>
    <row r="20" spans="1:12" ht="38.25" x14ac:dyDescent="0.2">
      <c r="A20" s="20">
        <v>18</v>
      </c>
      <c r="B20" s="20" t="s">
        <v>312</v>
      </c>
      <c r="C20" s="20" t="s">
        <v>312</v>
      </c>
      <c r="D20" s="20" t="s">
        <v>312</v>
      </c>
      <c r="E20" s="6" t="s">
        <v>313</v>
      </c>
      <c r="F20" s="54" t="s">
        <v>314</v>
      </c>
      <c r="G20" s="26" t="s">
        <v>207</v>
      </c>
      <c r="H20" s="13" t="s">
        <v>208</v>
      </c>
      <c r="I20" s="60" t="s">
        <v>196</v>
      </c>
      <c r="J20" s="30" t="s">
        <v>31</v>
      </c>
      <c r="K20" s="6" t="s">
        <v>174</v>
      </c>
      <c r="L20" s="57">
        <v>0.1</v>
      </c>
    </row>
    <row r="21" spans="1:12" ht="89.25" x14ac:dyDescent="0.2">
      <c r="A21" s="20">
        <v>19</v>
      </c>
      <c r="B21" s="20" t="s">
        <v>312</v>
      </c>
      <c r="C21" s="20" t="s">
        <v>312</v>
      </c>
      <c r="D21" s="20" t="s">
        <v>312</v>
      </c>
      <c r="E21" s="6" t="s">
        <v>313</v>
      </c>
      <c r="F21" s="26" t="s">
        <v>314</v>
      </c>
      <c r="G21" s="26" t="s">
        <v>209</v>
      </c>
      <c r="H21" s="13" t="s">
        <v>210</v>
      </c>
      <c r="I21" s="60" t="s">
        <v>196</v>
      </c>
      <c r="J21" s="30" t="s">
        <v>31</v>
      </c>
      <c r="K21" s="6" t="s">
        <v>174</v>
      </c>
      <c r="L21" s="57">
        <v>0.1</v>
      </c>
    </row>
    <row r="22" spans="1:12" ht="38.25" x14ac:dyDescent="0.2">
      <c r="A22" s="20">
        <v>20</v>
      </c>
      <c r="B22" s="20" t="s">
        <v>312</v>
      </c>
      <c r="C22" s="20" t="s">
        <v>312</v>
      </c>
      <c r="D22" s="20" t="s">
        <v>312</v>
      </c>
      <c r="E22" s="6" t="s">
        <v>313</v>
      </c>
      <c r="F22" s="54" t="s">
        <v>314</v>
      </c>
      <c r="G22" s="26" t="s">
        <v>211</v>
      </c>
      <c r="H22" s="13" t="s">
        <v>212</v>
      </c>
      <c r="I22" s="60" t="s">
        <v>196</v>
      </c>
      <c r="J22" s="30" t="s">
        <v>31</v>
      </c>
      <c r="K22" s="6" t="s">
        <v>174</v>
      </c>
      <c r="L22" s="57">
        <v>0.1</v>
      </c>
    </row>
    <row r="23" spans="1:12" ht="38.25" x14ac:dyDescent="0.2">
      <c r="A23" s="20">
        <v>21</v>
      </c>
      <c r="B23" s="20" t="s">
        <v>312</v>
      </c>
      <c r="C23" s="20" t="s">
        <v>312</v>
      </c>
      <c r="D23" s="20" t="s">
        <v>312</v>
      </c>
      <c r="E23" s="6" t="s">
        <v>313</v>
      </c>
      <c r="F23" s="54" t="s">
        <v>315</v>
      </c>
      <c r="G23" s="26" t="s">
        <v>213</v>
      </c>
      <c r="H23" s="13" t="s">
        <v>214</v>
      </c>
      <c r="I23" s="60" t="s">
        <v>196</v>
      </c>
      <c r="J23" s="30" t="s">
        <v>31</v>
      </c>
      <c r="K23" s="6" t="s">
        <v>174</v>
      </c>
      <c r="L23" s="57">
        <v>0.1</v>
      </c>
    </row>
    <row r="24" spans="1:12" ht="38.25" x14ac:dyDescent="0.2">
      <c r="A24" s="20">
        <v>22</v>
      </c>
      <c r="B24" s="20" t="s">
        <v>312</v>
      </c>
      <c r="C24" s="20" t="s">
        <v>312</v>
      </c>
      <c r="D24" s="20" t="s">
        <v>312</v>
      </c>
      <c r="E24" s="6" t="s">
        <v>313</v>
      </c>
      <c r="F24" s="54" t="s">
        <v>315</v>
      </c>
      <c r="G24" s="26" t="s">
        <v>215</v>
      </c>
      <c r="H24" s="13" t="s">
        <v>216</v>
      </c>
      <c r="I24" s="60" t="s">
        <v>196</v>
      </c>
      <c r="J24" s="30" t="s">
        <v>31</v>
      </c>
      <c r="K24" s="6" t="s">
        <v>174</v>
      </c>
      <c r="L24" s="57">
        <v>0.1</v>
      </c>
    </row>
    <row r="25" spans="1:12" ht="38.25" x14ac:dyDescent="0.2">
      <c r="A25" s="20">
        <v>23</v>
      </c>
      <c r="B25" s="20" t="s">
        <v>312</v>
      </c>
      <c r="C25" s="20" t="s">
        <v>312</v>
      </c>
      <c r="D25" s="20" t="s">
        <v>312</v>
      </c>
      <c r="E25" s="6" t="s">
        <v>313</v>
      </c>
      <c r="F25" s="54" t="s">
        <v>314</v>
      </c>
      <c r="G25" s="26" t="s">
        <v>217</v>
      </c>
      <c r="H25" s="13" t="s">
        <v>218</v>
      </c>
      <c r="I25" s="60" t="s">
        <v>196</v>
      </c>
      <c r="J25" s="30" t="s">
        <v>31</v>
      </c>
      <c r="K25" s="6" t="s">
        <v>174</v>
      </c>
      <c r="L25" s="57">
        <v>0.1</v>
      </c>
    </row>
    <row r="26" spans="1:12" ht="38.25" x14ac:dyDescent="0.2">
      <c r="A26" s="20">
        <v>24</v>
      </c>
      <c r="B26" s="20" t="s">
        <v>312</v>
      </c>
      <c r="C26" s="20" t="s">
        <v>312</v>
      </c>
      <c r="D26" s="20" t="s">
        <v>312</v>
      </c>
      <c r="E26" s="6" t="s">
        <v>313</v>
      </c>
      <c r="F26" s="54" t="s">
        <v>315</v>
      </c>
      <c r="G26" s="26" t="s">
        <v>219</v>
      </c>
      <c r="H26" s="13" t="s">
        <v>220</v>
      </c>
      <c r="I26" s="60" t="s">
        <v>196</v>
      </c>
      <c r="J26" s="30" t="s">
        <v>31</v>
      </c>
      <c r="K26" s="6" t="s">
        <v>174</v>
      </c>
      <c r="L26" s="57">
        <v>0.1</v>
      </c>
    </row>
    <row r="27" spans="1:12" ht="38.25" x14ac:dyDescent="0.2">
      <c r="A27" s="20">
        <v>25</v>
      </c>
      <c r="B27" s="20" t="s">
        <v>312</v>
      </c>
      <c r="C27" s="20" t="s">
        <v>312</v>
      </c>
      <c r="D27" s="20" t="s">
        <v>312</v>
      </c>
      <c r="E27" s="6" t="s">
        <v>313</v>
      </c>
      <c r="F27" s="54" t="s">
        <v>315</v>
      </c>
      <c r="G27" s="26" t="s">
        <v>221</v>
      </c>
      <c r="H27" s="13" t="s">
        <v>222</v>
      </c>
      <c r="I27" s="60" t="s">
        <v>196</v>
      </c>
      <c r="J27" s="30" t="s">
        <v>31</v>
      </c>
      <c r="K27" s="6" t="s">
        <v>174</v>
      </c>
      <c r="L27" s="57">
        <v>0.1</v>
      </c>
    </row>
    <row r="28" spans="1:12" ht="38.25" x14ac:dyDescent="0.2">
      <c r="A28" s="20">
        <v>26</v>
      </c>
      <c r="B28" s="20" t="s">
        <v>312</v>
      </c>
      <c r="C28" s="20" t="s">
        <v>312</v>
      </c>
      <c r="D28" s="20" t="s">
        <v>312</v>
      </c>
      <c r="E28" s="6" t="s">
        <v>313</v>
      </c>
      <c r="F28" s="54" t="s">
        <v>314</v>
      </c>
      <c r="G28" s="26" t="s">
        <v>223</v>
      </c>
      <c r="H28" s="13" t="s">
        <v>224</v>
      </c>
      <c r="I28" s="60" t="s">
        <v>225</v>
      </c>
      <c r="J28" s="30" t="s">
        <v>31</v>
      </c>
      <c r="K28" s="6" t="s">
        <v>174</v>
      </c>
      <c r="L28" s="59">
        <v>0.05</v>
      </c>
    </row>
    <row r="29" spans="1:12" ht="38.25" x14ac:dyDescent="0.2">
      <c r="A29" s="20">
        <v>27</v>
      </c>
      <c r="B29" s="20" t="s">
        <v>312</v>
      </c>
      <c r="C29" s="20" t="s">
        <v>312</v>
      </c>
      <c r="D29" s="20" t="s">
        <v>312</v>
      </c>
      <c r="E29" s="6" t="s">
        <v>313</v>
      </c>
      <c r="F29" s="54" t="s">
        <v>315</v>
      </c>
      <c r="G29" s="26" t="s">
        <v>226</v>
      </c>
      <c r="H29" s="13" t="s">
        <v>227</v>
      </c>
      <c r="I29" s="60" t="s">
        <v>225</v>
      </c>
      <c r="J29" s="30" t="s">
        <v>31</v>
      </c>
      <c r="K29" s="6" t="s">
        <v>174</v>
      </c>
      <c r="L29" s="59">
        <v>0.05</v>
      </c>
    </row>
    <row r="30" spans="1:12" ht="38.25" x14ac:dyDescent="0.2">
      <c r="A30" s="20">
        <v>28</v>
      </c>
      <c r="B30" s="20" t="s">
        <v>312</v>
      </c>
      <c r="C30" s="20" t="s">
        <v>312</v>
      </c>
      <c r="D30" s="20" t="s">
        <v>312</v>
      </c>
      <c r="E30" s="6" t="s">
        <v>313</v>
      </c>
      <c r="F30" s="54" t="s">
        <v>315</v>
      </c>
      <c r="G30" s="26" t="s">
        <v>228</v>
      </c>
      <c r="H30" s="13" t="s">
        <v>229</v>
      </c>
      <c r="I30" s="60" t="s">
        <v>225</v>
      </c>
      <c r="J30" s="30" t="s">
        <v>31</v>
      </c>
      <c r="K30" s="6" t="s">
        <v>174</v>
      </c>
      <c r="L30" s="59">
        <v>0.05</v>
      </c>
    </row>
  </sheetData>
  <autoFilter ref="A2:L30" xr:uid="{913B325F-9655-4B6F-BE58-0B30B6CE9FB2}"/>
  <phoneticPr fontId="10"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CA8B4-65AC-46A9-A0A2-A15B8C1FC68F}">
  <dimension ref="B3:K20"/>
  <sheetViews>
    <sheetView topLeftCell="D1" workbookViewId="0">
      <selection activeCell="F28" sqref="F28"/>
    </sheetView>
  </sheetViews>
  <sheetFormatPr baseColWidth="10" defaultColWidth="11.42578125" defaultRowHeight="15" x14ac:dyDescent="0.25"/>
  <cols>
    <col min="1" max="1" width="2" customWidth="1"/>
    <col min="2" max="2" width="7.7109375" bestFit="1" customWidth="1"/>
    <col min="3" max="3" width="34.28515625" customWidth="1"/>
    <col min="4" max="4" width="10.28515625" style="1" bestFit="1" customWidth="1"/>
    <col min="5" max="5" width="52.5703125" customWidth="1"/>
    <col min="6" max="6" width="5.85546875" customWidth="1"/>
    <col min="7" max="7" width="6.28515625" customWidth="1"/>
    <col min="8" max="8" width="4.5703125" bestFit="1" customWidth="1"/>
    <col min="9" max="9" width="30" customWidth="1"/>
    <col min="10" max="10" width="9.140625" bestFit="1" customWidth="1"/>
    <col min="11" max="11" width="53" customWidth="1"/>
  </cols>
  <sheetData>
    <row r="3" spans="2:11" ht="18.75" x14ac:dyDescent="0.3">
      <c r="B3" s="17" t="s">
        <v>316</v>
      </c>
      <c r="C3" s="73"/>
      <c r="D3" s="74"/>
      <c r="E3" s="73"/>
      <c r="F3" s="73"/>
      <c r="G3" s="73"/>
      <c r="H3" s="17" t="s">
        <v>317</v>
      </c>
      <c r="I3" s="73"/>
      <c r="J3" s="73"/>
      <c r="K3" s="73"/>
    </row>
    <row r="5" spans="2:11" x14ac:dyDescent="0.25">
      <c r="B5" s="2" t="s">
        <v>304</v>
      </c>
      <c r="C5" s="3" t="s">
        <v>318</v>
      </c>
      <c r="D5" s="4" t="s">
        <v>319</v>
      </c>
      <c r="E5" s="3" t="s">
        <v>320</v>
      </c>
      <c r="F5" s="73"/>
      <c r="G5" s="73"/>
      <c r="H5" s="7" t="s">
        <v>321</v>
      </c>
      <c r="I5" s="8" t="s">
        <v>322</v>
      </c>
      <c r="J5" s="8" t="s">
        <v>319</v>
      </c>
      <c r="K5" s="8" t="s">
        <v>320</v>
      </c>
    </row>
    <row r="6" spans="2:11" ht="38.25" x14ac:dyDescent="0.25">
      <c r="B6" s="13">
        <v>1</v>
      </c>
      <c r="C6" s="13" t="s">
        <v>29</v>
      </c>
      <c r="D6" s="30" t="s">
        <v>30</v>
      </c>
      <c r="E6" s="13" t="s">
        <v>33</v>
      </c>
      <c r="F6" s="73"/>
      <c r="G6" s="73"/>
      <c r="H6" s="14">
        <v>1</v>
      </c>
      <c r="I6" s="15" t="s">
        <v>29</v>
      </c>
      <c r="J6" s="14" t="s">
        <v>30</v>
      </c>
      <c r="K6" s="16" t="s">
        <v>64</v>
      </c>
    </row>
    <row r="7" spans="2:11" ht="38.25" x14ac:dyDescent="0.25">
      <c r="B7" s="13">
        <v>2</v>
      </c>
      <c r="C7" s="13" t="s">
        <v>35</v>
      </c>
      <c r="D7" s="30" t="s">
        <v>30</v>
      </c>
      <c r="E7" s="13" t="s">
        <v>36</v>
      </c>
      <c r="F7" s="73"/>
      <c r="G7" s="73"/>
      <c r="H7" s="14">
        <v>2</v>
      </c>
      <c r="I7" s="15" t="s">
        <v>35</v>
      </c>
      <c r="J7" s="14" t="s">
        <v>30</v>
      </c>
      <c r="K7" s="16" t="s">
        <v>66</v>
      </c>
    </row>
    <row r="8" spans="2:11" ht="48" x14ac:dyDescent="0.25">
      <c r="B8" s="13">
        <v>3</v>
      </c>
      <c r="C8" s="13" t="s">
        <v>38</v>
      </c>
      <c r="D8" s="30" t="s">
        <v>39</v>
      </c>
      <c r="E8" s="13" t="s">
        <v>40</v>
      </c>
      <c r="F8" s="73"/>
      <c r="G8" s="73"/>
      <c r="H8" s="14">
        <v>3</v>
      </c>
      <c r="I8" s="15" t="s">
        <v>68</v>
      </c>
      <c r="J8" s="14" t="s">
        <v>39</v>
      </c>
      <c r="K8" s="16" t="s">
        <v>69</v>
      </c>
    </row>
    <row r="9" spans="2:11" ht="51" x14ac:dyDescent="0.25">
      <c r="B9" s="5">
        <v>4</v>
      </c>
      <c r="C9" s="5" t="s">
        <v>42</v>
      </c>
      <c r="D9" s="6" t="s">
        <v>39</v>
      </c>
      <c r="E9" s="5" t="s">
        <v>43</v>
      </c>
      <c r="F9" s="73"/>
      <c r="G9" s="73"/>
      <c r="H9" s="9">
        <v>4</v>
      </c>
      <c r="I9" s="10" t="s">
        <v>42</v>
      </c>
      <c r="J9" s="9" t="s">
        <v>39</v>
      </c>
      <c r="K9" s="11" t="s">
        <v>71</v>
      </c>
    </row>
    <row r="10" spans="2:11" ht="114.75" x14ac:dyDescent="0.25">
      <c r="B10" s="5">
        <v>5</v>
      </c>
      <c r="C10" s="5" t="s">
        <v>44</v>
      </c>
      <c r="D10" s="6" t="s">
        <v>39</v>
      </c>
      <c r="E10" s="5" t="s">
        <v>45</v>
      </c>
      <c r="F10" s="73"/>
      <c r="G10" s="73"/>
      <c r="H10" s="9">
        <v>5</v>
      </c>
      <c r="I10" s="11" t="s">
        <v>73</v>
      </c>
      <c r="J10" s="9" t="s">
        <v>39</v>
      </c>
      <c r="K10" s="11" t="s">
        <v>323</v>
      </c>
    </row>
    <row r="11" spans="2:11" ht="63.75" x14ac:dyDescent="0.25">
      <c r="B11" s="5">
        <v>6</v>
      </c>
      <c r="C11" s="5" t="s">
        <v>47</v>
      </c>
      <c r="D11" s="6" t="s">
        <v>39</v>
      </c>
      <c r="E11" s="5" t="s">
        <v>48</v>
      </c>
      <c r="F11" s="73"/>
      <c r="G11" s="73"/>
      <c r="H11" s="9">
        <v>6</v>
      </c>
      <c r="I11" s="10" t="s">
        <v>76</v>
      </c>
      <c r="J11" s="9" t="s">
        <v>39</v>
      </c>
      <c r="K11" s="11" t="s">
        <v>77</v>
      </c>
    </row>
    <row r="12" spans="2:11" ht="84" x14ac:dyDescent="0.25">
      <c r="B12" s="5">
        <v>7</v>
      </c>
      <c r="C12" s="5" t="s">
        <v>50</v>
      </c>
      <c r="D12" s="6" t="s">
        <v>39</v>
      </c>
      <c r="E12" s="5" t="s">
        <v>51</v>
      </c>
      <c r="F12" s="73"/>
      <c r="G12" s="73"/>
      <c r="H12" s="9">
        <v>7</v>
      </c>
      <c r="I12" s="10" t="s">
        <v>79</v>
      </c>
      <c r="J12" s="9" t="s">
        <v>30</v>
      </c>
      <c r="K12" s="11" t="s">
        <v>80</v>
      </c>
    </row>
    <row r="13" spans="2:11" ht="89.25" x14ac:dyDescent="0.25">
      <c r="B13" s="5">
        <v>8</v>
      </c>
      <c r="C13" s="5" t="s">
        <v>53</v>
      </c>
      <c r="D13" s="6" t="s">
        <v>30</v>
      </c>
      <c r="E13" s="5" t="s">
        <v>54</v>
      </c>
      <c r="F13" s="73"/>
      <c r="G13" s="73"/>
      <c r="H13" s="9">
        <v>8</v>
      </c>
      <c r="I13" s="10" t="s">
        <v>56</v>
      </c>
      <c r="J13" s="9" t="s">
        <v>30</v>
      </c>
      <c r="K13" s="12" t="s">
        <v>324</v>
      </c>
    </row>
    <row r="14" spans="2:11" ht="96" x14ac:dyDescent="0.25">
      <c r="B14" s="5">
        <v>9</v>
      </c>
      <c r="C14" s="5" t="s">
        <v>56</v>
      </c>
      <c r="D14" s="6" t="s">
        <v>30</v>
      </c>
      <c r="E14" s="5" t="s">
        <v>57</v>
      </c>
      <c r="F14" s="73"/>
      <c r="G14" s="73"/>
      <c r="H14" s="9">
        <v>9</v>
      </c>
      <c r="I14" s="11" t="s">
        <v>84</v>
      </c>
      <c r="J14" s="9" t="s">
        <v>30</v>
      </c>
      <c r="K14" s="11" t="s">
        <v>85</v>
      </c>
    </row>
    <row r="15" spans="2:11" ht="72" x14ac:dyDescent="0.25">
      <c r="B15" s="5">
        <v>10</v>
      </c>
      <c r="C15" s="5" t="s">
        <v>59</v>
      </c>
      <c r="D15" s="6" t="s">
        <v>30</v>
      </c>
      <c r="E15" s="5" t="s">
        <v>57</v>
      </c>
      <c r="F15" s="73"/>
      <c r="G15" s="73"/>
      <c r="H15" s="9">
        <v>10</v>
      </c>
      <c r="I15" s="10" t="s">
        <v>87</v>
      </c>
      <c r="J15" s="9" t="s">
        <v>39</v>
      </c>
      <c r="K15" s="11" t="s">
        <v>88</v>
      </c>
    </row>
    <row r="16" spans="2:11" ht="51" x14ac:dyDescent="0.25">
      <c r="B16" s="5">
        <v>11</v>
      </c>
      <c r="C16" s="5" t="s">
        <v>60</v>
      </c>
      <c r="D16" s="6" t="s">
        <v>30</v>
      </c>
      <c r="E16" s="5" t="s">
        <v>57</v>
      </c>
      <c r="F16" s="73"/>
      <c r="G16" s="73"/>
      <c r="H16" s="9">
        <v>11</v>
      </c>
      <c r="I16" s="11" t="s">
        <v>90</v>
      </c>
      <c r="J16" s="9" t="s">
        <v>39</v>
      </c>
      <c r="K16" s="11" t="s">
        <v>91</v>
      </c>
    </row>
    <row r="17" spans="2:11" ht="60" x14ac:dyDescent="0.25">
      <c r="B17" s="5">
        <v>12</v>
      </c>
      <c r="C17" s="5" t="s">
        <v>62</v>
      </c>
      <c r="D17" s="6" t="s">
        <v>39</v>
      </c>
      <c r="E17" s="5" t="s">
        <v>43</v>
      </c>
      <c r="F17" s="73"/>
      <c r="G17" s="73"/>
      <c r="H17" s="9">
        <v>12</v>
      </c>
      <c r="I17" s="11" t="s">
        <v>93</v>
      </c>
      <c r="J17" s="9" t="s">
        <v>30</v>
      </c>
      <c r="K17" s="11" t="s">
        <v>94</v>
      </c>
    </row>
    <row r="18" spans="2:11" ht="60" x14ac:dyDescent="0.25">
      <c r="B18" s="73"/>
      <c r="C18" s="73"/>
      <c r="D18" s="74"/>
      <c r="E18" s="73"/>
      <c r="F18" s="73"/>
      <c r="G18" s="73"/>
      <c r="H18" s="9">
        <v>13</v>
      </c>
      <c r="I18" s="11" t="s">
        <v>96</v>
      </c>
      <c r="J18" s="9" t="s">
        <v>30</v>
      </c>
      <c r="K18" s="11" t="s">
        <v>97</v>
      </c>
    </row>
    <row r="19" spans="2:11" ht="48" x14ac:dyDescent="0.25">
      <c r="B19" s="73"/>
      <c r="C19" s="73"/>
      <c r="D19" s="74"/>
      <c r="E19" s="73"/>
      <c r="F19" s="73"/>
      <c r="G19" s="73"/>
      <c r="H19" s="9">
        <v>14</v>
      </c>
      <c r="I19" s="11" t="s">
        <v>99</v>
      </c>
      <c r="J19" s="9" t="s">
        <v>30</v>
      </c>
      <c r="K19" s="11" t="s">
        <v>100</v>
      </c>
    </row>
    <row r="20" spans="2:11" ht="96" x14ac:dyDescent="0.25">
      <c r="B20" s="73"/>
      <c r="C20" s="73"/>
      <c r="D20" s="74"/>
      <c r="E20" s="73"/>
      <c r="F20" s="73"/>
      <c r="G20" s="73"/>
      <c r="H20" s="9">
        <v>15</v>
      </c>
      <c r="I20" s="11" t="s">
        <v>102</v>
      </c>
      <c r="J20" s="9" t="s">
        <v>30</v>
      </c>
      <c r="K20" s="11" t="s">
        <v>66</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F9FDF4F8D4C63448AAB4AFC87357E0B" ma:contentTypeVersion="12" ma:contentTypeDescription="Crear nuevo documento." ma:contentTypeScope="" ma:versionID="02d519d71e821c2c1372ecd2512895cb">
  <xsd:schema xmlns:xsd="http://www.w3.org/2001/XMLSchema" xmlns:xs="http://www.w3.org/2001/XMLSchema" xmlns:p="http://schemas.microsoft.com/office/2006/metadata/properties" xmlns:ns2="245bd079-28c7-4729-ab3a-a93e41e9ce7e" xmlns:ns3="c3654b44-eee8-43ff-993f-7e93cb530b80" targetNamespace="http://schemas.microsoft.com/office/2006/metadata/properties" ma:root="true" ma:fieldsID="aa5b04ebc8497e005e97dba7e1a05b6b" ns2:_="" ns3:_="">
    <xsd:import namespace="245bd079-28c7-4729-ab3a-a93e41e9ce7e"/>
    <xsd:import namespace="c3654b44-eee8-43ff-993f-7e93cb530b8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5bd079-28c7-4729-ab3a-a93e41e9ce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654b44-eee8-43ff-993f-7e93cb530b80"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6EF931D-A7DD-4DA9-B949-14CFCC396E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5bd079-28c7-4729-ab3a-a93e41e9ce7e"/>
    <ds:schemaRef ds:uri="c3654b44-eee8-43ff-993f-7e93cb530b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246AFB0-777D-4F10-9331-FEF53DD1DFBC}">
  <ds:schemaRefs>
    <ds:schemaRef ds:uri="http://schemas.microsoft.com/sharepoint/v3/contenttype/forms"/>
  </ds:schemaRefs>
</ds:datastoreItem>
</file>

<file path=customXml/itemProps3.xml><?xml version="1.0" encoding="utf-8"?>
<ds:datastoreItem xmlns:ds="http://schemas.openxmlformats.org/officeDocument/2006/customXml" ds:itemID="{C741C9D2-D890-48B6-8F33-BF122FC7B65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5</vt:i4>
      </vt:variant>
    </vt:vector>
  </HeadingPairs>
  <TitlesOfParts>
    <vt:vector size="12" baseType="lpstr">
      <vt:lpstr>Resumen de Penalidades</vt:lpstr>
      <vt:lpstr>Desplegables</vt:lpstr>
      <vt:lpstr>Resumen - Gráficas</vt:lpstr>
      <vt:lpstr>FO</vt:lpstr>
      <vt:lpstr>Implementación</vt:lpstr>
      <vt:lpstr>SST</vt:lpstr>
      <vt:lpstr>Penalidades RFP</vt:lpstr>
      <vt:lpstr>Contratas</vt:lpstr>
      <vt:lpstr>Coordinador</vt:lpstr>
      <vt:lpstr>Estatus</vt:lpstr>
      <vt:lpstr>Penalidades</vt:lpstr>
      <vt:lpstr>Proyecto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Vidal, Paulo</dc:creator>
  <cp:keywords/>
  <dc:description/>
  <cp:lastModifiedBy>ICETEL - RAN</cp:lastModifiedBy>
  <cp:revision/>
  <dcterms:created xsi:type="dcterms:W3CDTF">2020-02-18T18:10:27Z</dcterms:created>
  <dcterms:modified xsi:type="dcterms:W3CDTF">2021-10-26T19:42:32Z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0x0101000F9FDF4F8D4C63448AAB4AFC87357E0B</vt:lpwstr>
  </property>
</Properties>
</file>